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yang/Desktop/projects/viewing_dist2024/github/Experiment 2/"/>
    </mc:Choice>
  </mc:AlternateContent>
  <xr:revisionPtr revIDLastSave="0" documentId="13_ncr:1_{79989DF2-1E17-5940-B632-A10B45B971EF}" xr6:coauthVersionLast="47" xr6:coauthVersionMax="47" xr10:uidLastSave="{00000000-0000-0000-0000-000000000000}"/>
  <bookViews>
    <workbookView xWindow="0" yWindow="760" windowWidth="30240" windowHeight="18880" activeTab="5" xr2:uid="{C676164D-C55E-1E4A-AEC1-9425E57322F5}"/>
  </bookViews>
  <sheets>
    <sheet name="texture 180" sheetId="2" r:id="rId1"/>
    <sheet name="texture 90" sheetId="3" r:id="rId2"/>
    <sheet name="stereo 180" sheetId="5" r:id="rId3"/>
    <sheet name="stereo 90" sheetId="8" r:id="rId4"/>
    <sheet name="combined 180" sheetId="9" r:id="rId5"/>
    <sheet name="combined 90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3" i="2" l="1"/>
  <c r="Y33" i="2"/>
  <c r="X33" i="2"/>
  <c r="W33" i="2"/>
  <c r="V33" i="2"/>
  <c r="U33" i="2"/>
  <c r="T33" i="2"/>
  <c r="Z32" i="2"/>
  <c r="Y32" i="2"/>
  <c r="X32" i="2"/>
  <c r="W32" i="2"/>
  <c r="V32" i="2"/>
  <c r="U32" i="2"/>
  <c r="T32" i="2"/>
  <c r="Z31" i="2"/>
  <c r="Y31" i="2"/>
  <c r="X31" i="2"/>
  <c r="W31" i="2"/>
  <c r="V31" i="2"/>
  <c r="U31" i="2"/>
  <c r="T31" i="2"/>
  <c r="Z30" i="2"/>
  <c r="Y30" i="2"/>
  <c r="X30" i="2"/>
  <c r="W30" i="2"/>
  <c r="V30" i="2"/>
  <c r="U30" i="2"/>
  <c r="T30" i="2"/>
  <c r="Z29" i="2"/>
  <c r="Y29" i="2"/>
  <c r="X29" i="2"/>
  <c r="W29" i="2"/>
  <c r="V29" i="2"/>
  <c r="U29" i="2"/>
  <c r="T29" i="2"/>
  <c r="Z28" i="2"/>
  <c r="Y28" i="2"/>
  <c r="X28" i="2"/>
  <c r="W28" i="2"/>
  <c r="V28" i="2"/>
  <c r="U28" i="2"/>
  <c r="T28" i="2"/>
  <c r="Z27" i="2"/>
  <c r="Y27" i="2"/>
  <c r="X27" i="2"/>
  <c r="W27" i="2"/>
  <c r="V27" i="2"/>
  <c r="U27" i="2"/>
  <c r="T27" i="2"/>
  <c r="Z26" i="2"/>
  <c r="Y26" i="2"/>
  <c r="X26" i="2"/>
  <c r="W26" i="2"/>
  <c r="V26" i="2"/>
  <c r="U26" i="2"/>
  <c r="T26" i="2"/>
  <c r="Z25" i="2"/>
  <c r="Y25" i="2"/>
  <c r="X25" i="2"/>
  <c r="W25" i="2"/>
  <c r="V25" i="2"/>
  <c r="U25" i="2"/>
  <c r="T25" i="2"/>
  <c r="Z24" i="2"/>
  <c r="Y24" i="2"/>
  <c r="X24" i="2"/>
  <c r="W24" i="2"/>
  <c r="V24" i="2"/>
  <c r="U24" i="2"/>
  <c r="T24" i="2"/>
  <c r="Z23" i="2"/>
  <c r="Y23" i="2"/>
  <c r="X23" i="2"/>
  <c r="W23" i="2"/>
  <c r="V23" i="2"/>
  <c r="U23" i="2"/>
  <c r="T23" i="2"/>
  <c r="Z22" i="2"/>
  <c r="Y22" i="2"/>
  <c r="X22" i="2"/>
  <c r="W22" i="2"/>
  <c r="V22" i="2"/>
  <c r="U22" i="2"/>
  <c r="T22" i="2"/>
  <c r="Z21" i="2"/>
  <c r="Y21" i="2"/>
  <c r="X21" i="2"/>
  <c r="W21" i="2"/>
  <c r="V21" i="2"/>
  <c r="U21" i="2"/>
  <c r="T21" i="2"/>
  <c r="Z20" i="2"/>
  <c r="Y20" i="2"/>
  <c r="X20" i="2"/>
  <c r="W20" i="2"/>
  <c r="V20" i="2"/>
  <c r="U20" i="2"/>
  <c r="T20" i="2"/>
  <c r="Z19" i="2"/>
  <c r="Y19" i="2"/>
  <c r="X19" i="2"/>
  <c r="W19" i="2"/>
  <c r="V19" i="2"/>
  <c r="U19" i="2"/>
  <c r="T19" i="2"/>
  <c r="Z18" i="2"/>
  <c r="Y18" i="2"/>
  <c r="X18" i="2"/>
  <c r="W18" i="2"/>
  <c r="V18" i="2"/>
  <c r="U18" i="2"/>
  <c r="T18" i="2"/>
  <c r="Z17" i="2"/>
  <c r="Y17" i="2"/>
  <c r="X17" i="2"/>
  <c r="W17" i="2"/>
  <c r="V17" i="2"/>
  <c r="U17" i="2"/>
  <c r="T17" i="2"/>
  <c r="Z16" i="2"/>
  <c r="Y16" i="2"/>
  <c r="X16" i="2"/>
  <c r="W16" i="2"/>
  <c r="V16" i="2"/>
  <c r="U16" i="2"/>
  <c r="T16" i="2"/>
  <c r="Z15" i="2"/>
  <c r="Y15" i="2"/>
  <c r="X15" i="2"/>
  <c r="W15" i="2"/>
  <c r="V15" i="2"/>
  <c r="U15" i="2"/>
  <c r="T15" i="2"/>
  <c r="Z14" i="2"/>
  <c r="Y14" i="2"/>
  <c r="X14" i="2"/>
  <c r="W14" i="2"/>
  <c r="V14" i="2"/>
  <c r="U14" i="2"/>
  <c r="T14" i="2"/>
  <c r="Z13" i="2"/>
  <c r="Y13" i="2"/>
  <c r="X13" i="2"/>
  <c r="W13" i="2"/>
  <c r="V13" i="2"/>
  <c r="U13" i="2"/>
  <c r="T13" i="2"/>
  <c r="Z12" i="2"/>
  <c r="Y12" i="2"/>
  <c r="X12" i="2"/>
  <c r="W12" i="2"/>
  <c r="V12" i="2"/>
  <c r="U12" i="2"/>
  <c r="T12" i="2"/>
  <c r="Z11" i="2"/>
  <c r="Y11" i="2"/>
  <c r="X11" i="2"/>
  <c r="W11" i="2"/>
  <c r="V11" i="2"/>
  <c r="U11" i="2"/>
  <c r="T11" i="2"/>
  <c r="Z10" i="2"/>
  <c r="Y10" i="2"/>
  <c r="X10" i="2"/>
  <c r="W10" i="2"/>
  <c r="V10" i="2"/>
  <c r="U10" i="2"/>
  <c r="T10" i="2"/>
  <c r="Z9" i="2"/>
  <c r="Y9" i="2"/>
  <c r="X9" i="2"/>
  <c r="W9" i="2"/>
  <c r="V9" i="2"/>
  <c r="U9" i="2"/>
  <c r="T9" i="2"/>
  <c r="Z8" i="2"/>
  <c r="Y8" i="2"/>
  <c r="X8" i="2"/>
  <c r="W8" i="2"/>
  <c r="V8" i="2"/>
  <c r="U8" i="2"/>
  <c r="T8" i="2"/>
  <c r="Z7" i="2"/>
  <c r="Y7" i="2"/>
  <c r="X7" i="2"/>
  <c r="W7" i="2"/>
  <c r="V7" i="2"/>
  <c r="U7" i="2"/>
  <c r="T7" i="2"/>
  <c r="Z6" i="2"/>
  <c r="Y6" i="2"/>
  <c r="X6" i="2"/>
  <c r="W6" i="2"/>
  <c r="V6" i="2"/>
  <c r="U6" i="2"/>
  <c r="T6" i="2"/>
  <c r="Z5" i="2"/>
  <c r="Y5" i="2"/>
  <c r="X5" i="2"/>
  <c r="W5" i="2"/>
  <c r="V5" i="2"/>
  <c r="U5" i="2"/>
  <c r="T5" i="2"/>
  <c r="Z4" i="2"/>
  <c r="Y4" i="2"/>
  <c r="X4" i="2"/>
  <c r="W4" i="2"/>
  <c r="V4" i="2"/>
  <c r="U4" i="2"/>
  <c r="T4" i="2"/>
  <c r="Z3" i="2"/>
  <c r="Y3" i="2"/>
  <c r="X3" i="2"/>
  <c r="W3" i="2"/>
  <c r="V3" i="2"/>
  <c r="U3" i="2"/>
  <c r="T3" i="2"/>
  <c r="Z2" i="2"/>
  <c r="Y2" i="2"/>
  <c r="X2" i="2"/>
  <c r="W2" i="2"/>
  <c r="V2" i="2"/>
  <c r="U2" i="2"/>
  <c r="T2" i="2"/>
  <c r="S33" i="7"/>
  <c r="R33" i="7"/>
  <c r="Q33" i="7"/>
  <c r="P33" i="7"/>
  <c r="O33" i="7"/>
  <c r="N33" i="7"/>
  <c r="M33" i="7"/>
  <c r="S32" i="7"/>
  <c r="R32" i="7"/>
  <c r="Q32" i="7"/>
  <c r="P32" i="7"/>
  <c r="O32" i="7"/>
  <c r="N32" i="7"/>
  <c r="M32" i="7"/>
  <c r="S31" i="7"/>
  <c r="R31" i="7"/>
  <c r="Q31" i="7"/>
  <c r="P31" i="7"/>
  <c r="O31" i="7"/>
  <c r="N31" i="7"/>
  <c r="M31" i="7"/>
  <c r="S30" i="7"/>
  <c r="R30" i="7"/>
  <c r="Q30" i="7"/>
  <c r="P30" i="7"/>
  <c r="O30" i="7"/>
  <c r="N30" i="7"/>
  <c r="M30" i="7"/>
  <c r="S29" i="7"/>
  <c r="R29" i="7"/>
  <c r="Q29" i="7"/>
  <c r="P29" i="7"/>
  <c r="O29" i="7"/>
  <c r="N29" i="7"/>
  <c r="M29" i="7"/>
  <c r="S28" i="7"/>
  <c r="R28" i="7"/>
  <c r="Q28" i="7"/>
  <c r="P28" i="7"/>
  <c r="O28" i="7"/>
  <c r="N28" i="7"/>
  <c r="M28" i="7"/>
  <c r="S27" i="7"/>
  <c r="R27" i="7"/>
  <c r="Q27" i="7"/>
  <c r="P27" i="7"/>
  <c r="O27" i="7"/>
  <c r="N27" i="7"/>
  <c r="M27" i="7"/>
  <c r="S26" i="7"/>
  <c r="R26" i="7"/>
  <c r="Q26" i="7"/>
  <c r="P26" i="7"/>
  <c r="O26" i="7"/>
  <c r="N26" i="7"/>
  <c r="M26" i="7"/>
  <c r="S25" i="7"/>
  <c r="R25" i="7"/>
  <c r="Q25" i="7"/>
  <c r="P25" i="7"/>
  <c r="O25" i="7"/>
  <c r="N25" i="7"/>
  <c r="M25" i="7"/>
  <c r="S24" i="7"/>
  <c r="R24" i="7"/>
  <c r="Q24" i="7"/>
  <c r="P24" i="7"/>
  <c r="O24" i="7"/>
  <c r="N24" i="7"/>
  <c r="M24" i="7"/>
  <c r="S23" i="7"/>
  <c r="R23" i="7"/>
  <c r="Q23" i="7"/>
  <c r="P23" i="7"/>
  <c r="O23" i="7"/>
  <c r="N23" i="7"/>
  <c r="M23" i="7"/>
  <c r="S22" i="7"/>
  <c r="R22" i="7"/>
  <c r="Q22" i="7"/>
  <c r="P22" i="7"/>
  <c r="O22" i="7"/>
  <c r="N22" i="7"/>
  <c r="M22" i="7"/>
  <c r="S21" i="7"/>
  <c r="R21" i="7"/>
  <c r="Q21" i="7"/>
  <c r="P21" i="7"/>
  <c r="O21" i="7"/>
  <c r="N21" i="7"/>
  <c r="M21" i="7"/>
  <c r="S20" i="7"/>
  <c r="R20" i="7"/>
  <c r="Q20" i="7"/>
  <c r="P20" i="7"/>
  <c r="O20" i="7"/>
  <c r="N20" i="7"/>
  <c r="M20" i="7"/>
  <c r="S19" i="7"/>
  <c r="R19" i="7"/>
  <c r="Q19" i="7"/>
  <c r="P19" i="7"/>
  <c r="O19" i="7"/>
  <c r="N19" i="7"/>
  <c r="M19" i="7"/>
  <c r="S18" i="7"/>
  <c r="R18" i="7"/>
  <c r="Q18" i="7"/>
  <c r="P18" i="7"/>
  <c r="O18" i="7"/>
  <c r="N18" i="7"/>
  <c r="M18" i="7"/>
  <c r="S17" i="7"/>
  <c r="R17" i="7"/>
  <c r="Q17" i="7"/>
  <c r="P17" i="7"/>
  <c r="O17" i="7"/>
  <c r="N17" i="7"/>
  <c r="M17" i="7"/>
  <c r="S16" i="7"/>
  <c r="R16" i="7"/>
  <c r="Q16" i="7"/>
  <c r="P16" i="7"/>
  <c r="O16" i="7"/>
  <c r="N16" i="7"/>
  <c r="M16" i="7"/>
  <c r="S15" i="7"/>
  <c r="R15" i="7"/>
  <c r="Q15" i="7"/>
  <c r="P15" i="7"/>
  <c r="O15" i="7"/>
  <c r="N15" i="7"/>
  <c r="M15" i="7"/>
  <c r="S14" i="7"/>
  <c r="R14" i="7"/>
  <c r="Q14" i="7"/>
  <c r="P14" i="7"/>
  <c r="O14" i="7"/>
  <c r="N14" i="7"/>
  <c r="M14" i="7"/>
  <c r="S13" i="7"/>
  <c r="R13" i="7"/>
  <c r="Q13" i="7"/>
  <c r="P13" i="7"/>
  <c r="O13" i="7"/>
  <c r="N13" i="7"/>
  <c r="M13" i="7"/>
  <c r="S12" i="7"/>
  <c r="R12" i="7"/>
  <c r="Q12" i="7"/>
  <c r="P12" i="7"/>
  <c r="O12" i="7"/>
  <c r="N12" i="7"/>
  <c r="M12" i="7"/>
  <c r="S11" i="7"/>
  <c r="R11" i="7"/>
  <c r="Q11" i="7"/>
  <c r="P11" i="7"/>
  <c r="O11" i="7"/>
  <c r="N11" i="7"/>
  <c r="M11" i="7"/>
  <c r="S10" i="7"/>
  <c r="R10" i="7"/>
  <c r="Q10" i="7"/>
  <c r="P10" i="7"/>
  <c r="O10" i="7"/>
  <c r="N10" i="7"/>
  <c r="M10" i="7"/>
  <c r="S9" i="7"/>
  <c r="R9" i="7"/>
  <c r="Q9" i="7"/>
  <c r="P9" i="7"/>
  <c r="O9" i="7"/>
  <c r="N9" i="7"/>
  <c r="M9" i="7"/>
  <c r="S8" i="7"/>
  <c r="R8" i="7"/>
  <c r="Q8" i="7"/>
  <c r="P8" i="7"/>
  <c r="O8" i="7"/>
  <c r="N8" i="7"/>
  <c r="M8" i="7"/>
  <c r="S7" i="7"/>
  <c r="R7" i="7"/>
  <c r="Q7" i="7"/>
  <c r="P7" i="7"/>
  <c r="O7" i="7"/>
  <c r="N7" i="7"/>
  <c r="M7" i="7"/>
  <c r="S6" i="7"/>
  <c r="R6" i="7"/>
  <c r="Q6" i="7"/>
  <c r="P6" i="7"/>
  <c r="O6" i="7"/>
  <c r="N6" i="7"/>
  <c r="M6" i="7"/>
  <c r="S5" i="7"/>
  <c r="R5" i="7"/>
  <c r="Q5" i="7"/>
  <c r="P5" i="7"/>
  <c r="O5" i="7"/>
  <c r="N5" i="7"/>
  <c r="M5" i="7"/>
  <c r="S4" i="7"/>
  <c r="R4" i="7"/>
  <c r="Q4" i="7"/>
  <c r="P4" i="7"/>
  <c r="O4" i="7"/>
  <c r="N4" i="7"/>
  <c r="M4" i="7"/>
  <c r="S3" i="7"/>
  <c r="R3" i="7"/>
  <c r="Q3" i="7"/>
  <c r="P3" i="7"/>
  <c r="O3" i="7"/>
  <c r="N3" i="7"/>
  <c r="M3" i="7"/>
  <c r="S2" i="7"/>
  <c r="R2" i="7"/>
  <c r="Q2" i="7"/>
  <c r="P2" i="7"/>
  <c r="O2" i="7"/>
  <c r="N2" i="7"/>
  <c r="M2" i="7"/>
</calcChain>
</file>

<file path=xl/sharedStrings.xml><?xml version="1.0" encoding="utf-8"?>
<sst xmlns="http://schemas.openxmlformats.org/spreadsheetml/2006/main" count="8" uniqueCount="2">
  <si>
    <t>estimates</t>
  </si>
  <si>
    <t>perceptual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</si>
</sst>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DE9F-705B-F643-B3D5-C9413311D2DA}">
  <dimension ref="A1:Z33"/>
  <sheetViews>
    <sheetView zoomScale="92" workbookViewId="0"/>
  </sheetViews>
  <sheetFormatPr baseColWidth="10" defaultRowHeight="16" x14ac:dyDescent="0.2"/>
  <cols>
    <col min="11" max="11" width="18.33203125" customWidth="1"/>
  </cols>
  <sheetData>
    <row r="1" spans="1:26" x14ac:dyDescent="0.2">
      <c r="A1" s="2" t="s">
        <v>0</v>
      </c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K1" s="2" t="s">
        <v>1</v>
      </c>
      <c r="L1" s="1">
        <v>10</v>
      </c>
      <c r="M1" s="1">
        <v>20</v>
      </c>
      <c r="N1" s="1">
        <v>30</v>
      </c>
      <c r="O1" s="1">
        <v>40</v>
      </c>
      <c r="P1" s="1">
        <v>50</v>
      </c>
      <c r="Q1" s="1">
        <v>60</v>
      </c>
      <c r="R1" s="1">
        <v>70</v>
      </c>
      <c r="T1" s="1">
        <v>10</v>
      </c>
      <c r="U1" s="1">
        <v>20</v>
      </c>
      <c r="V1" s="1">
        <v>30</v>
      </c>
      <c r="W1" s="1">
        <v>40</v>
      </c>
      <c r="X1" s="1">
        <v>50</v>
      </c>
      <c r="Y1" s="1">
        <v>60</v>
      </c>
      <c r="Z1" s="1">
        <v>70</v>
      </c>
    </row>
    <row r="2" spans="1:26" x14ac:dyDescent="0.2">
      <c r="A2" s="1">
        <v>1</v>
      </c>
      <c r="B2">
        <v>-5.0098721074358297</v>
      </c>
      <c r="C2">
        <v>-5.6498534022366202</v>
      </c>
      <c r="D2">
        <v>-6.5454149886808999</v>
      </c>
      <c r="E2">
        <v>-5.6854211309951097</v>
      </c>
      <c r="F2">
        <v>1.4583677600522</v>
      </c>
      <c r="G2">
        <v>14.839034520708701</v>
      </c>
      <c r="H2">
        <v>40.652776100506401</v>
      </c>
      <c r="I2">
        <v>54.266099672347202</v>
      </c>
      <c r="K2" s="1">
        <v>1</v>
      </c>
      <c r="L2">
        <v>-6.3998129480079602E-2</v>
      </c>
      <c r="M2">
        <v>-7.6777144062253694E-2</v>
      </c>
      <c r="N2">
        <v>-2.2518300785309499E-2</v>
      </c>
      <c r="O2">
        <v>0.16170599668720101</v>
      </c>
      <c r="P2">
        <v>0.39697813256289</v>
      </c>
      <c r="Q2">
        <v>0.76104413679903704</v>
      </c>
      <c r="R2">
        <v>0.84679959685404305</v>
      </c>
      <c r="T2">
        <f>(C2-B2)/10</f>
        <v>-6.3998129480079061E-2</v>
      </c>
      <c r="U2">
        <f>(D2-B2)/20</f>
        <v>-7.6777144062253513E-2</v>
      </c>
      <c r="V2">
        <f>(E2-B2)/30</f>
        <v>-2.2518300785309333E-2</v>
      </c>
      <c r="W2">
        <f>(F2-B2)/40</f>
        <v>0.16170599668720073</v>
      </c>
      <c r="X2">
        <f>(G2-B2)/50</f>
        <v>0.39697813256289061</v>
      </c>
      <c r="Y2">
        <f>(H2-B2)/60</f>
        <v>0.76104413679903726</v>
      </c>
      <c r="Z2">
        <f>(I2-B2)/70</f>
        <v>0.84679959685404338</v>
      </c>
    </row>
    <row r="3" spans="1:26" x14ac:dyDescent="0.2">
      <c r="A3" s="1">
        <v>2</v>
      </c>
      <c r="B3">
        <v>3.8055499922732698</v>
      </c>
      <c r="C3">
        <v>3.21080383718316</v>
      </c>
      <c r="D3">
        <v>2.9077734350519</v>
      </c>
      <c r="E3">
        <v>3.8918709326546099</v>
      </c>
      <c r="F3">
        <v>9.7315594115121993</v>
      </c>
      <c r="G3">
        <v>32.237033670321999</v>
      </c>
      <c r="H3">
        <v>65.738837381544897</v>
      </c>
      <c r="I3">
        <v>92.601282512915603</v>
      </c>
      <c r="K3" s="1">
        <v>2</v>
      </c>
      <c r="L3">
        <v>-5.9474615509011397E-2</v>
      </c>
      <c r="M3">
        <v>-4.48888278610685E-2</v>
      </c>
      <c r="N3">
        <v>2.8773646793779999E-3</v>
      </c>
      <c r="O3">
        <v>0.148150235480973</v>
      </c>
      <c r="P3">
        <v>0.56862967356097505</v>
      </c>
      <c r="Q3">
        <v>1.03222145648786</v>
      </c>
      <c r="R3">
        <v>1.2685104645806</v>
      </c>
      <c r="T3">
        <f t="shared" ref="T3:T33" si="0">(C3-B3)/10</f>
        <v>-5.9474615509010988E-2</v>
      </c>
      <c r="U3">
        <f t="shared" ref="U3:U32" si="1">(D3-B3)/20</f>
        <v>-4.4888827861068493E-2</v>
      </c>
      <c r="V3">
        <f t="shared" ref="V3:V33" si="2">(E3-B3)/30</f>
        <v>2.8773646793780029E-3</v>
      </c>
      <c r="W3">
        <f t="shared" ref="W3:W33" si="3">(F3-B3)/40</f>
        <v>0.14815023548097322</v>
      </c>
      <c r="X3">
        <f t="shared" ref="X3:X33" si="4">(G3-B3)/50</f>
        <v>0.5686296735609746</v>
      </c>
      <c r="Y3">
        <f t="shared" ref="Y3:Y33" si="5">(H3-B3)/60</f>
        <v>1.0322214564878605</v>
      </c>
      <c r="Z3">
        <f t="shared" ref="Z3:Z33" si="6">(I3-B3)/70</f>
        <v>1.2685104645806047</v>
      </c>
    </row>
    <row r="4" spans="1:26" x14ac:dyDescent="0.2">
      <c r="A4" s="1">
        <v>3</v>
      </c>
      <c r="B4">
        <v>-10.5396459540669</v>
      </c>
      <c r="C4">
        <v>-3.9864476935513999</v>
      </c>
      <c r="D4">
        <v>0.75706903023551397</v>
      </c>
      <c r="E4">
        <v>-6.8159284874107504</v>
      </c>
      <c r="F4">
        <v>1.5159690243494</v>
      </c>
      <c r="G4">
        <v>16.4537067939069</v>
      </c>
      <c r="H4">
        <v>19.8238437414842</v>
      </c>
      <c r="I4">
        <v>33.181790391806999</v>
      </c>
      <c r="K4" s="1">
        <v>3</v>
      </c>
      <c r="L4">
        <v>0.65531982605155303</v>
      </c>
      <c r="M4">
        <v>0.56483574921512203</v>
      </c>
      <c r="N4">
        <v>0.12412391555520599</v>
      </c>
      <c r="O4">
        <v>0.30139037446040801</v>
      </c>
      <c r="P4">
        <v>0.53986705495947696</v>
      </c>
      <c r="Q4">
        <v>0.50605816159251904</v>
      </c>
      <c r="R4">
        <v>0.62459194779819904</v>
      </c>
      <c r="T4">
        <f t="shared" si="0"/>
        <v>0.65531982605155004</v>
      </c>
      <c r="U4">
        <f t="shared" si="1"/>
        <v>0.5648357492151207</v>
      </c>
      <c r="V4">
        <f t="shared" si="2"/>
        <v>0.12412391555520499</v>
      </c>
      <c r="W4">
        <f t="shared" si="3"/>
        <v>0.30139037446040751</v>
      </c>
      <c r="X4">
        <f t="shared" si="4"/>
        <v>0.53986705495947607</v>
      </c>
      <c r="Y4">
        <f t="shared" si="5"/>
        <v>0.50605816159251837</v>
      </c>
      <c r="Z4">
        <f t="shared" si="6"/>
        <v>0.62459194779819849</v>
      </c>
    </row>
    <row r="5" spans="1:26" x14ac:dyDescent="0.2">
      <c r="A5" s="1">
        <v>4</v>
      </c>
      <c r="B5">
        <v>-0.68283782849448105</v>
      </c>
      <c r="C5">
        <v>1.9182471473160401</v>
      </c>
      <c r="D5">
        <v>5.3752813519517897</v>
      </c>
      <c r="E5">
        <v>7.6824685644342603</v>
      </c>
      <c r="F5">
        <v>15.772335760076301</v>
      </c>
      <c r="G5">
        <v>33.216912229381798</v>
      </c>
      <c r="H5">
        <v>56.604449574433801</v>
      </c>
      <c r="I5">
        <v>69.721530972345505</v>
      </c>
      <c r="K5" s="1">
        <v>4</v>
      </c>
      <c r="L5">
        <v>0.26010849758105198</v>
      </c>
      <c r="M5">
        <v>0.30290595902231299</v>
      </c>
      <c r="N5">
        <v>0.27884354643095799</v>
      </c>
      <c r="O5">
        <v>0.41137933971426899</v>
      </c>
      <c r="P5">
        <v>0.67799500115752498</v>
      </c>
      <c r="Q5">
        <v>0.95478812338213703</v>
      </c>
      <c r="R5">
        <v>1.0057766971548601</v>
      </c>
      <c r="T5">
        <f t="shared" si="0"/>
        <v>0.26010849758105209</v>
      </c>
      <c r="U5">
        <f t="shared" si="1"/>
        <v>0.30290595902231354</v>
      </c>
      <c r="V5">
        <f t="shared" si="2"/>
        <v>0.27884354643095804</v>
      </c>
      <c r="W5">
        <f t="shared" si="3"/>
        <v>0.41137933971426949</v>
      </c>
      <c r="X5">
        <f t="shared" si="4"/>
        <v>0.67799500115752553</v>
      </c>
      <c r="Y5">
        <f t="shared" si="5"/>
        <v>0.95478812338213792</v>
      </c>
      <c r="Z5">
        <f t="shared" si="6"/>
        <v>1.005776697154857</v>
      </c>
    </row>
    <row r="6" spans="1:26" x14ac:dyDescent="0.2">
      <c r="A6" s="1">
        <v>5</v>
      </c>
      <c r="B6">
        <v>-5.1132737841034297</v>
      </c>
      <c r="C6">
        <v>-5.7935697769822196</v>
      </c>
      <c r="D6">
        <v>-4.0994202462781404</v>
      </c>
      <c r="E6">
        <v>-2.5314980365145101</v>
      </c>
      <c r="F6">
        <v>20.121144672783299</v>
      </c>
      <c r="G6">
        <v>43.5532595825022</v>
      </c>
      <c r="H6">
        <v>67.569873565185404</v>
      </c>
      <c r="I6">
        <v>73.486619516694006</v>
      </c>
      <c r="K6" s="1">
        <v>5</v>
      </c>
      <c r="L6">
        <v>-6.8029599287878606E-2</v>
      </c>
      <c r="M6">
        <v>5.0692676891264402E-2</v>
      </c>
      <c r="N6">
        <v>8.6059191586297407E-2</v>
      </c>
      <c r="O6">
        <v>0.63086046142216901</v>
      </c>
      <c r="P6">
        <v>0.97333066733211304</v>
      </c>
      <c r="Q6">
        <v>1.2113857891548101</v>
      </c>
      <c r="R6">
        <v>1.12285561858282</v>
      </c>
      <c r="T6">
        <f t="shared" si="0"/>
        <v>-6.8029599287878995E-2</v>
      </c>
      <c r="U6">
        <f t="shared" si="1"/>
        <v>5.0692676891264464E-2</v>
      </c>
      <c r="V6">
        <f t="shared" si="2"/>
        <v>8.6059191586297323E-2</v>
      </c>
      <c r="W6">
        <f t="shared" si="3"/>
        <v>0.63086046142216823</v>
      </c>
      <c r="X6">
        <f t="shared" si="4"/>
        <v>0.97333066733211249</v>
      </c>
      <c r="Y6">
        <f t="shared" si="5"/>
        <v>1.2113857891548139</v>
      </c>
      <c r="Z6">
        <f t="shared" si="6"/>
        <v>1.1228556185828205</v>
      </c>
    </row>
    <row r="7" spans="1:26" x14ac:dyDescent="0.2">
      <c r="A7" s="1">
        <v>6</v>
      </c>
      <c r="B7">
        <v>-11.172436675395801</v>
      </c>
      <c r="C7">
        <v>-8.5246314683110302</v>
      </c>
      <c r="D7">
        <v>-9.3039772597499404</v>
      </c>
      <c r="E7">
        <v>5.9549243154766698</v>
      </c>
      <c r="F7">
        <v>14.886142173070899</v>
      </c>
      <c r="G7">
        <v>28.2709127098504</v>
      </c>
      <c r="H7">
        <v>43.995600358789297</v>
      </c>
      <c r="I7">
        <v>55.974456626320297</v>
      </c>
      <c r="K7" s="1">
        <v>6</v>
      </c>
      <c r="L7">
        <v>0.26478052070847502</v>
      </c>
      <c r="M7">
        <v>9.34229707822921E-2</v>
      </c>
      <c r="N7">
        <v>0.570912033029082</v>
      </c>
      <c r="O7">
        <v>0.65146447121166695</v>
      </c>
      <c r="P7">
        <v>0.78886698770492403</v>
      </c>
      <c r="Q7">
        <v>0.91946728390308496</v>
      </c>
      <c r="R7">
        <v>0.95924133288165803</v>
      </c>
      <c r="T7">
        <f t="shared" si="0"/>
        <v>0.26478052070847707</v>
      </c>
      <c r="U7">
        <f t="shared" si="1"/>
        <v>9.342297078229303E-2</v>
      </c>
      <c r="V7">
        <f t="shared" si="2"/>
        <v>0.57091203302908233</v>
      </c>
      <c r="W7">
        <f t="shared" si="3"/>
        <v>0.65146447121166751</v>
      </c>
      <c r="X7">
        <f t="shared" si="4"/>
        <v>0.78886698770492403</v>
      </c>
      <c r="Y7">
        <f t="shared" si="5"/>
        <v>0.91946728390308496</v>
      </c>
      <c r="Z7">
        <f t="shared" si="6"/>
        <v>0.95924133288165847</v>
      </c>
    </row>
    <row r="8" spans="1:26" x14ac:dyDescent="0.2">
      <c r="A8" s="1">
        <v>7</v>
      </c>
      <c r="B8">
        <v>23.0027899145182</v>
      </c>
      <c r="C8">
        <v>25.151251951591998</v>
      </c>
      <c r="D8">
        <v>16.691749649799601</v>
      </c>
      <c r="E8">
        <v>33.158985783931399</v>
      </c>
      <c r="F8">
        <v>28.3947639350001</v>
      </c>
      <c r="G8">
        <v>43.718445567567201</v>
      </c>
      <c r="H8">
        <v>58.502857358177899</v>
      </c>
      <c r="I8">
        <v>70.232236751650802</v>
      </c>
      <c r="K8" s="1">
        <v>7</v>
      </c>
      <c r="L8">
        <v>0.21484620370738799</v>
      </c>
      <c r="M8">
        <v>-0.31555201323592502</v>
      </c>
      <c r="N8">
        <v>0.33853986231377398</v>
      </c>
      <c r="O8">
        <v>0.134799350512049</v>
      </c>
      <c r="P8">
        <v>0.41431311306098201</v>
      </c>
      <c r="Q8">
        <v>0.59166779072766296</v>
      </c>
      <c r="R8">
        <v>0.67470638338760902</v>
      </c>
      <c r="T8">
        <f t="shared" si="0"/>
        <v>0.21484620370737986</v>
      </c>
      <c r="U8">
        <f t="shared" si="1"/>
        <v>-0.31555201323592996</v>
      </c>
      <c r="V8">
        <f t="shared" si="2"/>
        <v>0.33853986231377331</v>
      </c>
      <c r="W8">
        <f t="shared" si="3"/>
        <v>0.1347993505120475</v>
      </c>
      <c r="X8">
        <f t="shared" si="4"/>
        <v>0.41431311306098001</v>
      </c>
      <c r="Y8">
        <f t="shared" si="5"/>
        <v>0.59166779072766174</v>
      </c>
      <c r="Z8">
        <f t="shared" si="6"/>
        <v>0.67470638338760858</v>
      </c>
    </row>
    <row r="9" spans="1:26" x14ac:dyDescent="0.2">
      <c r="A9" s="1">
        <v>8</v>
      </c>
      <c r="B9">
        <v>-8.2487386574272303</v>
      </c>
      <c r="C9">
        <v>-7.0265941678881703</v>
      </c>
      <c r="D9">
        <v>6.31982239803515</v>
      </c>
      <c r="E9">
        <v>-2.2118934841373199</v>
      </c>
      <c r="F9">
        <v>23.315442085424898</v>
      </c>
      <c r="G9">
        <v>26.798493372703199</v>
      </c>
      <c r="H9">
        <v>34.699097367224397</v>
      </c>
      <c r="I9">
        <v>57.238509217130002</v>
      </c>
      <c r="K9" s="1">
        <v>8</v>
      </c>
      <c r="L9">
        <v>0.122214448953905</v>
      </c>
      <c r="M9">
        <v>0.72842805277311895</v>
      </c>
      <c r="N9">
        <v>0.20122817244299701</v>
      </c>
      <c r="O9">
        <v>0.78910451857130404</v>
      </c>
      <c r="P9">
        <v>0.70094464060260797</v>
      </c>
      <c r="Q9">
        <v>0.715797267077526</v>
      </c>
      <c r="R9">
        <v>0.93553211249367496</v>
      </c>
      <c r="T9">
        <f t="shared" si="0"/>
        <v>0.12221444895390601</v>
      </c>
      <c r="U9">
        <f t="shared" si="1"/>
        <v>0.72842805277311906</v>
      </c>
      <c r="V9">
        <f t="shared" si="2"/>
        <v>0.20122817244299701</v>
      </c>
      <c r="W9">
        <f t="shared" si="3"/>
        <v>0.78910451857130326</v>
      </c>
      <c r="X9">
        <f t="shared" si="4"/>
        <v>0.70094464060260864</v>
      </c>
      <c r="Y9">
        <f t="shared" si="5"/>
        <v>0.71579726707752711</v>
      </c>
      <c r="Z9">
        <f t="shared" si="6"/>
        <v>0.93553211249367463</v>
      </c>
    </row>
    <row r="10" spans="1:26" x14ac:dyDescent="0.2">
      <c r="A10" s="1">
        <v>9</v>
      </c>
      <c r="B10">
        <v>-7.6348184102486201</v>
      </c>
      <c r="C10">
        <v>-9.4747635243948096</v>
      </c>
      <c r="D10">
        <v>-13.749927635147101</v>
      </c>
      <c r="E10">
        <v>-12.3965208084905</v>
      </c>
      <c r="F10">
        <v>-9.8664172410991799</v>
      </c>
      <c r="G10">
        <v>-4.49097292815076</v>
      </c>
      <c r="H10">
        <v>-5.3572854043029299</v>
      </c>
      <c r="I10">
        <v>-4.23215087038803</v>
      </c>
      <c r="K10" s="1">
        <v>9</v>
      </c>
      <c r="L10">
        <v>-0.18399451141461901</v>
      </c>
      <c r="M10">
        <v>-0.30575546124492298</v>
      </c>
      <c r="N10">
        <v>-0.158723413274731</v>
      </c>
      <c r="O10">
        <v>-5.5789970771263998E-2</v>
      </c>
      <c r="P10">
        <v>6.2876909641957204E-2</v>
      </c>
      <c r="Q10">
        <v>3.7958883432428099E-2</v>
      </c>
      <c r="R10">
        <v>4.8609536283722603E-2</v>
      </c>
      <c r="T10">
        <f t="shared" si="0"/>
        <v>-0.18399451141461895</v>
      </c>
      <c r="U10">
        <f t="shared" si="1"/>
        <v>-0.30575546124492403</v>
      </c>
      <c r="V10">
        <f t="shared" si="2"/>
        <v>-0.15872341327472933</v>
      </c>
      <c r="W10">
        <f t="shared" si="3"/>
        <v>-5.5789970771263998E-2</v>
      </c>
      <c r="X10">
        <f t="shared" si="4"/>
        <v>6.2876909641957204E-2</v>
      </c>
      <c r="Y10">
        <f t="shared" si="5"/>
        <v>3.7958883432428168E-2</v>
      </c>
      <c r="Z10">
        <f t="shared" si="6"/>
        <v>4.8609536283722714E-2</v>
      </c>
    </row>
    <row r="11" spans="1:26" x14ac:dyDescent="0.2">
      <c r="A11" s="1">
        <v>10</v>
      </c>
      <c r="B11">
        <v>13.322067945311099</v>
      </c>
      <c r="C11">
        <v>8.1728008687368696</v>
      </c>
      <c r="D11">
        <v>19.594845489100699</v>
      </c>
      <c r="E11">
        <v>12.4265954640099</v>
      </c>
      <c r="F11">
        <v>18.731255002548501</v>
      </c>
      <c r="G11">
        <v>31.620954463342901</v>
      </c>
      <c r="H11">
        <v>33.341321866229102</v>
      </c>
      <c r="I11">
        <v>44.439485592436696</v>
      </c>
      <c r="K11" s="1">
        <v>10</v>
      </c>
      <c r="L11">
        <v>-0.51492670765742499</v>
      </c>
      <c r="M11">
        <v>0.31363887718947703</v>
      </c>
      <c r="N11">
        <v>-2.9849082710042101E-2</v>
      </c>
      <c r="O11">
        <v>0.135229676430935</v>
      </c>
      <c r="P11">
        <v>0.36597773036063602</v>
      </c>
      <c r="Q11">
        <v>0.33365423201529898</v>
      </c>
      <c r="R11">
        <v>0.44453453781607999</v>
      </c>
      <c r="T11">
        <f t="shared" si="0"/>
        <v>-0.51492670765742299</v>
      </c>
      <c r="U11">
        <f t="shared" si="1"/>
        <v>0.31363887718947997</v>
      </c>
      <c r="V11">
        <f t="shared" si="2"/>
        <v>-2.9849082710039988E-2</v>
      </c>
      <c r="W11">
        <f t="shared" si="3"/>
        <v>0.13522967643093503</v>
      </c>
      <c r="X11">
        <f t="shared" si="4"/>
        <v>0.36597773036063602</v>
      </c>
      <c r="Y11">
        <f t="shared" si="5"/>
        <v>0.33365423201530009</v>
      </c>
      <c r="Z11">
        <f t="shared" si="6"/>
        <v>0.44453453781607999</v>
      </c>
    </row>
    <row r="12" spans="1:26" x14ac:dyDescent="0.2">
      <c r="A12" s="1">
        <v>11</v>
      </c>
      <c r="B12">
        <v>10.1334515194202</v>
      </c>
      <c r="C12">
        <v>11.469627121674399</v>
      </c>
      <c r="D12">
        <v>14.2751833824986</v>
      </c>
      <c r="E12">
        <v>20.857381470137</v>
      </c>
      <c r="F12">
        <v>25.1927815112494</v>
      </c>
      <c r="G12">
        <v>43.689392623099103</v>
      </c>
      <c r="H12">
        <v>45.550523590079102</v>
      </c>
      <c r="I12">
        <v>64.313962133690595</v>
      </c>
      <c r="K12" s="1">
        <v>11</v>
      </c>
      <c r="L12">
        <v>0.13361756022542401</v>
      </c>
      <c r="M12">
        <v>0.207086593153918</v>
      </c>
      <c r="N12">
        <v>0.35746433169055902</v>
      </c>
      <c r="O12">
        <v>0.37648324979573</v>
      </c>
      <c r="P12">
        <v>0.67111882207357798</v>
      </c>
      <c r="Q12">
        <v>0.59028453451098195</v>
      </c>
      <c r="R12">
        <v>0.77400729448957695</v>
      </c>
      <c r="T12">
        <f t="shared" si="0"/>
        <v>0.13361756022541993</v>
      </c>
      <c r="U12">
        <f t="shared" si="1"/>
        <v>0.20708659315392</v>
      </c>
      <c r="V12">
        <f t="shared" si="2"/>
        <v>0.35746433169055997</v>
      </c>
      <c r="W12">
        <f t="shared" si="3"/>
        <v>0.37648324979573</v>
      </c>
      <c r="X12">
        <f t="shared" si="4"/>
        <v>0.67111882207357809</v>
      </c>
      <c r="Y12">
        <f t="shared" si="5"/>
        <v>0.59028453451098173</v>
      </c>
      <c r="Z12">
        <f t="shared" si="6"/>
        <v>0.77400729448957706</v>
      </c>
    </row>
    <row r="13" spans="1:26" x14ac:dyDescent="0.2">
      <c r="A13" s="1">
        <v>12</v>
      </c>
      <c r="B13">
        <v>-38.490799693176697</v>
      </c>
      <c r="C13">
        <v>-34.595872958884101</v>
      </c>
      <c r="D13">
        <v>-30.511029720173699</v>
      </c>
      <c r="E13">
        <v>-34.800999853431897</v>
      </c>
      <c r="F13">
        <v>-29.8718275537918</v>
      </c>
      <c r="G13">
        <v>5.3937972616263403</v>
      </c>
      <c r="H13">
        <v>50.162258098999402</v>
      </c>
      <c r="I13">
        <v>72.775977945923799</v>
      </c>
      <c r="K13" s="1">
        <v>12</v>
      </c>
      <c r="L13">
        <v>0.38949267342925997</v>
      </c>
      <c r="M13">
        <v>0.39898849865015301</v>
      </c>
      <c r="N13">
        <v>0.122993327991494</v>
      </c>
      <c r="O13">
        <v>0.21547430348462401</v>
      </c>
      <c r="P13">
        <v>0.87769193909606202</v>
      </c>
      <c r="Q13">
        <v>1.47755096320294</v>
      </c>
      <c r="R13">
        <v>1.58952539484429</v>
      </c>
      <c r="T13">
        <f t="shared" si="0"/>
        <v>0.38949267342925964</v>
      </c>
      <c r="U13">
        <f t="shared" si="1"/>
        <v>0.3989884986501499</v>
      </c>
      <c r="V13">
        <f t="shared" si="2"/>
        <v>0.12299332799149336</v>
      </c>
      <c r="W13">
        <f t="shared" si="3"/>
        <v>0.21547430348462243</v>
      </c>
      <c r="X13">
        <f t="shared" si="4"/>
        <v>0.87769193909606069</v>
      </c>
      <c r="Y13">
        <f t="shared" si="5"/>
        <v>1.4775509632029349</v>
      </c>
      <c r="Z13">
        <f t="shared" si="6"/>
        <v>1.5895253948442929</v>
      </c>
    </row>
    <row r="14" spans="1:26" x14ac:dyDescent="0.2">
      <c r="A14" s="1">
        <v>13</v>
      </c>
      <c r="B14">
        <v>13.6802232830716</v>
      </c>
      <c r="C14">
        <v>10.8666195628954</v>
      </c>
      <c r="D14">
        <v>14.6789954226885</v>
      </c>
      <c r="E14">
        <v>16.137349106304001</v>
      </c>
      <c r="F14">
        <v>26.662927861276</v>
      </c>
      <c r="G14">
        <v>30.931270711923801</v>
      </c>
      <c r="H14">
        <v>39.696191742267402</v>
      </c>
      <c r="I14">
        <v>47.960867505743899</v>
      </c>
      <c r="K14" s="1">
        <v>13</v>
      </c>
      <c r="L14">
        <v>-0.28136037201761699</v>
      </c>
      <c r="M14">
        <v>4.9938606980845103E-2</v>
      </c>
      <c r="N14">
        <v>8.1904194107747602E-2</v>
      </c>
      <c r="O14">
        <v>0.32456761445510901</v>
      </c>
      <c r="P14">
        <v>0.34502094857704402</v>
      </c>
      <c r="Q14">
        <v>0.43359947431993101</v>
      </c>
      <c r="R14">
        <v>0.48972348889531803</v>
      </c>
      <c r="T14">
        <f t="shared" si="0"/>
        <v>-0.28136037201761999</v>
      </c>
      <c r="U14">
        <f t="shared" si="1"/>
        <v>4.9938606980844999E-2</v>
      </c>
      <c r="V14">
        <f t="shared" si="2"/>
        <v>8.19041941077467E-2</v>
      </c>
      <c r="W14">
        <f t="shared" si="3"/>
        <v>0.32456761445511001</v>
      </c>
      <c r="X14">
        <f t="shared" si="4"/>
        <v>0.34502094857704407</v>
      </c>
      <c r="Y14">
        <f t="shared" si="5"/>
        <v>0.43359947431993007</v>
      </c>
      <c r="Z14">
        <f t="shared" si="6"/>
        <v>0.48972348889531858</v>
      </c>
    </row>
    <row r="15" spans="1:26" x14ac:dyDescent="0.2">
      <c r="A15" s="1">
        <v>14</v>
      </c>
      <c r="B15">
        <v>-16.5727415460372</v>
      </c>
      <c r="C15">
        <v>-15.4853304456367</v>
      </c>
      <c r="D15">
        <v>-13.6193650422414</v>
      </c>
      <c r="E15">
        <v>-4.9884464479108104</v>
      </c>
      <c r="F15">
        <v>16.803295987818601</v>
      </c>
      <c r="G15">
        <v>25.627133493082798</v>
      </c>
      <c r="H15">
        <v>48.5854832151308</v>
      </c>
      <c r="I15">
        <v>74.032408608079606</v>
      </c>
      <c r="K15" s="1">
        <v>14</v>
      </c>
      <c r="L15">
        <v>0.108741110040053</v>
      </c>
      <c r="M15">
        <v>0.14766882518978799</v>
      </c>
      <c r="N15">
        <v>0.38614316993754599</v>
      </c>
      <c r="O15">
        <v>0.83440093834639495</v>
      </c>
      <c r="P15">
        <v>0.84399750078239899</v>
      </c>
      <c r="Q15">
        <v>1.08597041268613</v>
      </c>
      <c r="R15">
        <v>1.29435928791595</v>
      </c>
      <c r="T15">
        <f t="shared" si="0"/>
        <v>0.10874111004004998</v>
      </c>
      <c r="U15">
        <f t="shared" si="1"/>
        <v>0.14766882518979002</v>
      </c>
      <c r="V15">
        <f t="shared" si="2"/>
        <v>0.38614316993754633</v>
      </c>
      <c r="W15">
        <f t="shared" si="3"/>
        <v>0.83440093834639506</v>
      </c>
      <c r="X15">
        <f t="shared" si="4"/>
        <v>0.84399750078239999</v>
      </c>
      <c r="Y15">
        <f t="shared" si="5"/>
        <v>1.0859704126861334</v>
      </c>
      <c r="Z15">
        <f t="shared" si="6"/>
        <v>1.2943592879159544</v>
      </c>
    </row>
    <row r="16" spans="1:26" x14ac:dyDescent="0.2">
      <c r="A16" s="1">
        <v>15</v>
      </c>
      <c r="B16">
        <v>-7.3183016651585797</v>
      </c>
      <c r="C16">
        <v>-5.2939296631587798</v>
      </c>
      <c r="D16">
        <v>-5.0193934450761004</v>
      </c>
      <c r="E16">
        <v>-6.2880918450668094E-2</v>
      </c>
      <c r="F16">
        <v>13.1942981729397</v>
      </c>
      <c r="G16">
        <v>27.3468452177637</v>
      </c>
      <c r="H16">
        <v>52.362424754309501</v>
      </c>
      <c r="I16">
        <v>93.032810843441894</v>
      </c>
      <c r="K16" s="1">
        <v>15</v>
      </c>
      <c r="L16">
        <v>0.20243720019998099</v>
      </c>
      <c r="M16">
        <v>0.114945411004124</v>
      </c>
      <c r="N16">
        <v>0.24184735822359699</v>
      </c>
      <c r="O16">
        <v>0.51281499595245805</v>
      </c>
      <c r="P16">
        <v>0.69330293765844497</v>
      </c>
      <c r="Q16">
        <v>0.994678773657801</v>
      </c>
      <c r="R16">
        <v>1.4335873215514301</v>
      </c>
      <c r="T16">
        <f t="shared" si="0"/>
        <v>0.20243720019997999</v>
      </c>
      <c r="U16">
        <f t="shared" si="1"/>
        <v>0.11494541100412396</v>
      </c>
      <c r="V16">
        <f t="shared" si="2"/>
        <v>0.24184735822359704</v>
      </c>
      <c r="W16">
        <f t="shared" si="3"/>
        <v>0.51281499595245694</v>
      </c>
      <c r="X16">
        <f t="shared" si="4"/>
        <v>0.69330293765844564</v>
      </c>
      <c r="Y16">
        <f t="shared" si="5"/>
        <v>0.99467877365780133</v>
      </c>
      <c r="Z16">
        <f t="shared" si="6"/>
        <v>1.4335873215514354</v>
      </c>
    </row>
    <row r="17" spans="1:26" x14ac:dyDescent="0.2">
      <c r="A17" s="1">
        <v>16</v>
      </c>
      <c r="B17">
        <v>21.206725170661301</v>
      </c>
      <c r="C17">
        <v>20.1209295474222</v>
      </c>
      <c r="D17">
        <v>21.065627972745201</v>
      </c>
      <c r="E17">
        <v>35.021762204938398</v>
      </c>
      <c r="F17">
        <v>41.151880219000098</v>
      </c>
      <c r="G17">
        <v>67.071172936759595</v>
      </c>
      <c r="H17">
        <v>82.804397461891099</v>
      </c>
      <c r="I17">
        <v>97.413013103909194</v>
      </c>
      <c r="K17" s="1">
        <v>16</v>
      </c>
      <c r="L17">
        <v>-0.10857956232390201</v>
      </c>
      <c r="M17">
        <v>-7.0548598958025E-3</v>
      </c>
      <c r="N17">
        <v>0.46050123447590302</v>
      </c>
      <c r="O17">
        <v>0.49862887620847202</v>
      </c>
      <c r="P17">
        <v>0.91728895532196697</v>
      </c>
      <c r="Q17">
        <v>1.0266278715204999</v>
      </c>
      <c r="R17">
        <v>1.0886612561892599</v>
      </c>
      <c r="T17">
        <f t="shared" si="0"/>
        <v>-0.10857956232391004</v>
      </c>
      <c r="U17">
        <f t="shared" si="1"/>
        <v>-7.0548598958049876E-3</v>
      </c>
      <c r="V17">
        <f t="shared" si="2"/>
        <v>0.46050123447590324</v>
      </c>
      <c r="W17">
        <f t="shared" si="3"/>
        <v>0.49862887620846996</v>
      </c>
      <c r="X17">
        <f t="shared" si="4"/>
        <v>0.91728895532196586</v>
      </c>
      <c r="Y17">
        <f t="shared" si="5"/>
        <v>1.0266278715204966</v>
      </c>
      <c r="Z17">
        <f t="shared" si="6"/>
        <v>1.0886612561892557</v>
      </c>
    </row>
    <row r="18" spans="1:26" x14ac:dyDescent="0.2">
      <c r="A18" s="1">
        <v>17</v>
      </c>
      <c r="B18">
        <v>-11.4334628453632</v>
      </c>
      <c r="C18">
        <v>-9.0302259467709494</v>
      </c>
      <c r="D18">
        <v>-8.9804374983789206</v>
      </c>
      <c r="E18">
        <v>-3.9174524207530999</v>
      </c>
      <c r="F18">
        <v>35.141279296865797</v>
      </c>
      <c r="G18">
        <v>37.829795793755899</v>
      </c>
      <c r="H18">
        <v>69.292900356547406</v>
      </c>
      <c r="I18">
        <v>84.6945201913273</v>
      </c>
      <c r="K18" s="1">
        <v>17</v>
      </c>
      <c r="L18">
        <v>0.24032368985922201</v>
      </c>
      <c r="M18">
        <v>0.122651267349213</v>
      </c>
      <c r="N18">
        <v>0.250533680820336</v>
      </c>
      <c r="O18">
        <v>1.16436855355572</v>
      </c>
      <c r="P18">
        <v>0.98526517278238201</v>
      </c>
      <c r="Q18">
        <v>1.3454393866985099</v>
      </c>
      <c r="R18">
        <v>1.3732569005241499</v>
      </c>
      <c r="T18">
        <f t="shared" si="0"/>
        <v>0.24032368985922509</v>
      </c>
      <c r="U18">
        <f t="shared" si="1"/>
        <v>0.12265126734921399</v>
      </c>
      <c r="V18">
        <f t="shared" si="2"/>
        <v>0.25053368082033667</v>
      </c>
      <c r="W18">
        <f t="shared" si="3"/>
        <v>1.1643685535557249</v>
      </c>
      <c r="X18">
        <f t="shared" si="4"/>
        <v>0.98526517278238201</v>
      </c>
      <c r="Y18">
        <f t="shared" si="5"/>
        <v>1.3454393866985099</v>
      </c>
      <c r="Z18">
        <f t="shared" si="6"/>
        <v>1.3732569005241499</v>
      </c>
    </row>
    <row r="19" spans="1:26" x14ac:dyDescent="0.2">
      <c r="A19" s="1">
        <v>18</v>
      </c>
      <c r="B19">
        <v>16.6828297455823</v>
      </c>
      <c r="C19">
        <v>4.9906687124833899</v>
      </c>
      <c r="D19">
        <v>14.1470110206029</v>
      </c>
      <c r="E19">
        <v>19.031266442714799</v>
      </c>
      <c r="F19">
        <v>36.668301373464999</v>
      </c>
      <c r="G19">
        <v>54.766031924878298</v>
      </c>
      <c r="H19">
        <v>79.4796650476476</v>
      </c>
      <c r="I19">
        <v>88.272256711492105</v>
      </c>
      <c r="K19" s="1">
        <v>18</v>
      </c>
      <c r="L19">
        <v>-1.16921610330989</v>
      </c>
      <c r="M19">
        <v>-0.126790936248971</v>
      </c>
      <c r="N19">
        <v>7.8281223237748304E-2</v>
      </c>
      <c r="O19">
        <v>0.49963679069706601</v>
      </c>
      <c r="P19">
        <v>0.76166404358591999</v>
      </c>
      <c r="Q19">
        <v>1.0466139217010899</v>
      </c>
      <c r="R19">
        <v>1.022706099513</v>
      </c>
      <c r="T19">
        <f t="shared" si="0"/>
        <v>-1.1692161033098909</v>
      </c>
      <c r="U19">
        <f t="shared" si="1"/>
        <v>-0.12679093624897</v>
      </c>
      <c r="V19">
        <f t="shared" si="2"/>
        <v>7.8281223237749956E-2</v>
      </c>
      <c r="W19">
        <f t="shared" si="3"/>
        <v>0.49963679069706746</v>
      </c>
      <c r="X19">
        <f t="shared" si="4"/>
        <v>0.76166404358591988</v>
      </c>
      <c r="Y19">
        <f t="shared" si="5"/>
        <v>1.0466139217010884</v>
      </c>
      <c r="Z19">
        <f t="shared" si="6"/>
        <v>1.0227060995129973</v>
      </c>
    </row>
    <row r="20" spans="1:26" x14ac:dyDescent="0.2">
      <c r="A20" s="1">
        <v>19</v>
      </c>
      <c r="B20">
        <v>3.7830762344973898</v>
      </c>
      <c r="C20">
        <v>3.4804555103475701</v>
      </c>
      <c r="D20">
        <v>9.7331478098121593</v>
      </c>
      <c r="E20">
        <v>14.4505572940867</v>
      </c>
      <c r="F20">
        <v>27.740426496389301</v>
      </c>
      <c r="G20">
        <v>39.486397952327799</v>
      </c>
      <c r="H20">
        <v>54.4911797914638</v>
      </c>
      <c r="I20">
        <v>65.553679418710601</v>
      </c>
      <c r="K20" s="1">
        <v>19</v>
      </c>
      <c r="L20">
        <v>-3.0262072414982199E-2</v>
      </c>
      <c r="M20">
        <v>0.29750357876573802</v>
      </c>
      <c r="N20">
        <v>0.35558270198631198</v>
      </c>
      <c r="O20">
        <v>0.59893375654729797</v>
      </c>
      <c r="P20">
        <v>0.71406643435660799</v>
      </c>
      <c r="Q20">
        <v>0.84513505928277299</v>
      </c>
      <c r="R20">
        <v>0.88243718834590401</v>
      </c>
      <c r="T20">
        <f t="shared" si="0"/>
        <v>-3.0262072414981977E-2</v>
      </c>
      <c r="U20">
        <f t="shared" si="1"/>
        <v>0.29750357876573846</v>
      </c>
      <c r="V20">
        <f t="shared" si="2"/>
        <v>0.35558270198631031</v>
      </c>
      <c r="W20">
        <f t="shared" si="3"/>
        <v>0.59893375654729775</v>
      </c>
      <c r="X20">
        <f t="shared" si="4"/>
        <v>0.7140664343566081</v>
      </c>
      <c r="Y20">
        <f t="shared" si="5"/>
        <v>0.84513505928277344</v>
      </c>
      <c r="Z20">
        <f t="shared" si="6"/>
        <v>0.88243718834590312</v>
      </c>
    </row>
    <row r="21" spans="1:26" x14ac:dyDescent="0.2">
      <c r="A21" s="1">
        <v>20</v>
      </c>
      <c r="B21">
        <v>4.9464435419792299</v>
      </c>
      <c r="C21">
        <v>4.0407940154383301E-2</v>
      </c>
      <c r="D21">
        <v>7.4760742904968804</v>
      </c>
      <c r="E21">
        <v>8.7971768722340506</v>
      </c>
      <c r="F21">
        <v>10.2307833424181</v>
      </c>
      <c r="G21">
        <v>31.733610918002501</v>
      </c>
      <c r="H21">
        <v>60.9174101503461</v>
      </c>
      <c r="I21">
        <v>60.367782954104698</v>
      </c>
      <c r="K21" s="1">
        <v>20</v>
      </c>
      <c r="L21">
        <v>-0.49060356018248502</v>
      </c>
      <c r="M21">
        <v>0.126481537425883</v>
      </c>
      <c r="N21">
        <v>0.12835777767516099</v>
      </c>
      <c r="O21">
        <v>0.13210849501097199</v>
      </c>
      <c r="P21">
        <v>0.53574334752046604</v>
      </c>
      <c r="Q21">
        <v>0.93284944347278198</v>
      </c>
      <c r="R21">
        <v>0.79173342017322201</v>
      </c>
      <c r="T21">
        <f t="shared" si="0"/>
        <v>-0.49060356018248469</v>
      </c>
      <c r="U21">
        <f t="shared" si="1"/>
        <v>0.12648153742588253</v>
      </c>
      <c r="V21">
        <f t="shared" si="2"/>
        <v>0.12835777767516068</v>
      </c>
      <c r="W21">
        <f t="shared" si="3"/>
        <v>0.13210849501097174</v>
      </c>
      <c r="X21">
        <f t="shared" si="4"/>
        <v>0.53574334752046537</v>
      </c>
      <c r="Y21">
        <f t="shared" si="5"/>
        <v>0.9328494434727812</v>
      </c>
      <c r="Z21">
        <f t="shared" si="6"/>
        <v>0.79173342017322101</v>
      </c>
    </row>
    <row r="22" spans="1:26" x14ac:dyDescent="0.2">
      <c r="A22" s="1">
        <v>21</v>
      </c>
      <c r="B22">
        <v>8.5156022718366007</v>
      </c>
      <c r="C22">
        <v>10.6439836939469</v>
      </c>
      <c r="D22">
        <v>10.008155581296</v>
      </c>
      <c r="E22">
        <v>12.217139011034501</v>
      </c>
      <c r="F22">
        <v>18.166997189316302</v>
      </c>
      <c r="G22">
        <v>23.971159969145798</v>
      </c>
      <c r="H22">
        <v>36.411223222077197</v>
      </c>
      <c r="I22">
        <v>41.952809510087597</v>
      </c>
      <c r="K22" s="1">
        <v>21</v>
      </c>
      <c r="L22">
        <v>0.21283814221102601</v>
      </c>
      <c r="M22">
        <v>7.46276654729678E-2</v>
      </c>
      <c r="N22">
        <v>0.123384557973263</v>
      </c>
      <c r="O22">
        <v>0.241284872936991</v>
      </c>
      <c r="P22">
        <v>0.30911115394618399</v>
      </c>
      <c r="Q22">
        <v>0.46492701583734303</v>
      </c>
      <c r="R22">
        <v>0.47767438911787202</v>
      </c>
      <c r="T22">
        <f t="shared" si="0"/>
        <v>0.21283814221102998</v>
      </c>
      <c r="U22">
        <f t="shared" si="1"/>
        <v>7.4627665472969978E-2</v>
      </c>
      <c r="V22">
        <f t="shared" si="2"/>
        <v>0.12338455797326334</v>
      </c>
      <c r="W22">
        <f t="shared" si="3"/>
        <v>0.24128487293699252</v>
      </c>
      <c r="X22">
        <f t="shared" si="4"/>
        <v>0.30911115394618394</v>
      </c>
      <c r="Y22">
        <f t="shared" si="5"/>
        <v>0.4649270158373433</v>
      </c>
      <c r="Z22">
        <f t="shared" si="6"/>
        <v>0.47767438911787141</v>
      </c>
    </row>
    <row r="23" spans="1:26" x14ac:dyDescent="0.2">
      <c r="A23" s="1">
        <v>22</v>
      </c>
      <c r="B23">
        <v>-19.4723354417096</v>
      </c>
      <c r="C23">
        <v>-19.922288560469799</v>
      </c>
      <c r="D23">
        <v>-19.036519327796501</v>
      </c>
      <c r="E23">
        <v>-19.758471062246102</v>
      </c>
      <c r="F23">
        <v>-9.3062963467602504</v>
      </c>
      <c r="G23">
        <v>14.403059452498701</v>
      </c>
      <c r="H23">
        <v>31.818686754590999</v>
      </c>
      <c r="I23">
        <v>49.21004332967</v>
      </c>
      <c r="K23" s="1">
        <v>22</v>
      </c>
      <c r="L23">
        <v>-4.4995311876024097E-2</v>
      </c>
      <c r="M23">
        <v>2.1790805695656699E-2</v>
      </c>
      <c r="N23">
        <v>-9.5378540178829296E-3</v>
      </c>
      <c r="O23">
        <v>0.25415097737373399</v>
      </c>
      <c r="P23">
        <v>0.67750789788416699</v>
      </c>
      <c r="Q23">
        <v>0.85485036993834296</v>
      </c>
      <c r="R23">
        <v>0.981176839591137</v>
      </c>
      <c r="T23">
        <f t="shared" si="0"/>
        <v>-4.4995311876019885E-2</v>
      </c>
      <c r="U23">
        <f t="shared" si="1"/>
        <v>2.1790805695654926E-2</v>
      </c>
      <c r="V23">
        <f t="shared" si="2"/>
        <v>-9.5378540178833997E-3</v>
      </c>
      <c r="W23">
        <f t="shared" si="3"/>
        <v>0.25415097737373371</v>
      </c>
      <c r="X23">
        <f t="shared" si="4"/>
        <v>0.67750789788416599</v>
      </c>
      <c r="Y23">
        <f t="shared" si="5"/>
        <v>0.8548503699383434</v>
      </c>
      <c r="Z23">
        <f t="shared" si="6"/>
        <v>0.98117683959113722</v>
      </c>
    </row>
    <row r="24" spans="1:26" x14ac:dyDescent="0.2">
      <c r="A24" s="1">
        <v>23</v>
      </c>
      <c r="B24">
        <v>6.2821228459962102</v>
      </c>
      <c r="C24">
        <v>6.6071815770813798</v>
      </c>
      <c r="D24">
        <v>9.7771092782910003</v>
      </c>
      <c r="E24">
        <v>10.3597106637928</v>
      </c>
      <c r="F24">
        <v>19.694072982709301</v>
      </c>
      <c r="G24">
        <v>20.212099619254101</v>
      </c>
      <c r="H24">
        <v>38.3274008424832</v>
      </c>
      <c r="I24">
        <v>51.365079633601503</v>
      </c>
      <c r="K24" s="1">
        <v>23</v>
      </c>
      <c r="L24">
        <v>3.2505873108517103E-2</v>
      </c>
      <c r="M24">
        <v>0.17474932161473899</v>
      </c>
      <c r="N24">
        <v>0.13591959392655301</v>
      </c>
      <c r="O24">
        <v>0.335298753417828</v>
      </c>
      <c r="P24">
        <v>0.27859953546515798</v>
      </c>
      <c r="Q24">
        <v>0.53408796660811597</v>
      </c>
      <c r="R24">
        <v>0.64404223982293196</v>
      </c>
      <c r="T24">
        <f t="shared" si="0"/>
        <v>3.2505873108516957E-2</v>
      </c>
      <c r="U24">
        <f t="shared" si="1"/>
        <v>0.17474932161473949</v>
      </c>
      <c r="V24">
        <f t="shared" si="2"/>
        <v>0.13591959392655301</v>
      </c>
      <c r="W24">
        <f t="shared" si="3"/>
        <v>0.33529875341782728</v>
      </c>
      <c r="X24">
        <f t="shared" si="4"/>
        <v>0.27859953546515781</v>
      </c>
      <c r="Y24">
        <f t="shared" si="5"/>
        <v>0.53408796660811642</v>
      </c>
      <c r="Z24">
        <f t="shared" si="6"/>
        <v>0.64404223982293274</v>
      </c>
    </row>
    <row r="25" spans="1:26" x14ac:dyDescent="0.2">
      <c r="A25" s="1">
        <v>24</v>
      </c>
      <c r="B25">
        <v>-2.3564863007012602</v>
      </c>
      <c r="C25">
        <v>-3.5492077048390498</v>
      </c>
      <c r="D25">
        <v>5.0698685332171696</v>
      </c>
      <c r="E25">
        <v>2.3291434893087302</v>
      </c>
      <c r="F25">
        <v>13.4642756529027</v>
      </c>
      <c r="G25">
        <v>23.432292935347999</v>
      </c>
      <c r="H25">
        <v>35.859363508821701</v>
      </c>
      <c r="I25">
        <v>51.946992410347498</v>
      </c>
      <c r="K25" s="1">
        <v>24</v>
      </c>
      <c r="L25">
        <v>-0.119272140413779</v>
      </c>
      <c r="M25">
        <v>0.37131774169592102</v>
      </c>
      <c r="N25">
        <v>0.15618765966699899</v>
      </c>
      <c r="O25">
        <v>0.39551904884009897</v>
      </c>
      <c r="P25">
        <v>0.51577558472098495</v>
      </c>
      <c r="Q25">
        <v>0.63693083015871699</v>
      </c>
      <c r="R25">
        <v>0.77576398158641102</v>
      </c>
      <c r="T25">
        <f t="shared" si="0"/>
        <v>-0.11927214041377895</v>
      </c>
      <c r="U25">
        <f t="shared" si="1"/>
        <v>0.37131774169592147</v>
      </c>
      <c r="V25">
        <f t="shared" si="2"/>
        <v>0.15618765966699968</v>
      </c>
      <c r="W25">
        <f t="shared" si="3"/>
        <v>0.39551904884009897</v>
      </c>
      <c r="X25">
        <f t="shared" si="4"/>
        <v>0.51577558472098517</v>
      </c>
      <c r="Y25">
        <f t="shared" si="5"/>
        <v>0.6369308301587161</v>
      </c>
      <c r="Z25">
        <f t="shared" si="6"/>
        <v>0.77576398158641091</v>
      </c>
    </row>
    <row r="26" spans="1:26" x14ac:dyDescent="0.2">
      <c r="A26" s="1">
        <v>25</v>
      </c>
      <c r="B26">
        <v>-17.474016216690899</v>
      </c>
      <c r="C26">
        <v>-22.469198752150501</v>
      </c>
      <c r="D26">
        <v>-18.241918381243298</v>
      </c>
      <c r="E26">
        <v>-12.3059613173517</v>
      </c>
      <c r="F26">
        <v>-1.73699018816144</v>
      </c>
      <c r="G26">
        <v>1.71036852903801</v>
      </c>
      <c r="H26">
        <v>42.399051298266798</v>
      </c>
      <c r="I26">
        <v>63.632563682512</v>
      </c>
      <c r="K26" s="1">
        <v>25</v>
      </c>
      <c r="L26">
        <v>-0.49951825354595802</v>
      </c>
      <c r="M26">
        <v>-3.8395108227621197E-2</v>
      </c>
      <c r="N26">
        <v>0.172268496644639</v>
      </c>
      <c r="O26">
        <v>0.39342565071323599</v>
      </c>
      <c r="P26">
        <v>0.38368769491457799</v>
      </c>
      <c r="Q26">
        <v>0.99788445858262798</v>
      </c>
      <c r="R26">
        <v>1.15866542713147</v>
      </c>
      <c r="T26">
        <f t="shared" si="0"/>
        <v>-0.49951825354596019</v>
      </c>
      <c r="U26">
        <f t="shared" si="1"/>
        <v>-3.8395108227619976E-2</v>
      </c>
      <c r="V26">
        <f t="shared" si="2"/>
        <v>0.17226849664463995</v>
      </c>
      <c r="W26">
        <f t="shared" si="3"/>
        <v>0.39342565071323643</v>
      </c>
      <c r="X26">
        <f t="shared" si="4"/>
        <v>0.38368769491457821</v>
      </c>
      <c r="Y26">
        <f t="shared" si="5"/>
        <v>0.99788445858262831</v>
      </c>
      <c r="Z26">
        <f t="shared" si="6"/>
        <v>1.15866542713147</v>
      </c>
    </row>
    <row r="27" spans="1:26" x14ac:dyDescent="0.2">
      <c r="A27" s="1">
        <v>26</v>
      </c>
      <c r="B27">
        <v>-23.7901940783645</v>
      </c>
      <c r="C27">
        <v>-24.329100492492799</v>
      </c>
      <c r="D27">
        <v>-23.889713945005202</v>
      </c>
      <c r="E27">
        <v>-22.495856110834801</v>
      </c>
      <c r="F27">
        <v>-23.578818842783502</v>
      </c>
      <c r="G27">
        <v>-20.327665767826499</v>
      </c>
      <c r="H27">
        <v>-7.4568970383056499</v>
      </c>
      <c r="I27">
        <v>11.835302782882501</v>
      </c>
      <c r="K27" s="1">
        <v>26</v>
      </c>
      <c r="L27">
        <v>-5.3890641412822099E-2</v>
      </c>
      <c r="M27">
        <v>-4.9759933320338203E-3</v>
      </c>
      <c r="N27">
        <v>4.31445989176596E-2</v>
      </c>
      <c r="O27">
        <v>5.2843808895257603E-3</v>
      </c>
      <c r="P27">
        <v>6.9250566210761297E-2</v>
      </c>
      <c r="Q27">
        <v>0.27222161733431499</v>
      </c>
      <c r="R27">
        <v>0.50893566944638602</v>
      </c>
      <c r="T27">
        <f t="shared" si="0"/>
        <v>-5.3890641412829864E-2</v>
      </c>
      <c r="U27">
        <f t="shared" si="1"/>
        <v>-4.9759933320350667E-3</v>
      </c>
      <c r="V27">
        <f t="shared" si="2"/>
        <v>4.3144598917656651E-2</v>
      </c>
      <c r="W27">
        <f t="shared" si="3"/>
        <v>5.2843808895249641E-3</v>
      </c>
      <c r="X27">
        <f t="shared" si="4"/>
        <v>6.9250566210760034E-2</v>
      </c>
      <c r="Y27">
        <f t="shared" si="5"/>
        <v>0.27222161733431421</v>
      </c>
      <c r="Z27">
        <f t="shared" si="6"/>
        <v>0.50893566944638569</v>
      </c>
    </row>
    <row r="28" spans="1:26" x14ac:dyDescent="0.2">
      <c r="A28" s="1">
        <v>27</v>
      </c>
      <c r="B28">
        <v>-4.90550010682938</v>
      </c>
      <c r="C28">
        <v>-6.0057052484988498</v>
      </c>
      <c r="D28">
        <v>-0.16829028718834699</v>
      </c>
      <c r="E28">
        <v>5.8199505704198398</v>
      </c>
      <c r="F28">
        <v>22.130579938264201</v>
      </c>
      <c r="G28">
        <v>36.096690519983198</v>
      </c>
      <c r="H28">
        <v>59.384297978756301</v>
      </c>
      <c r="I28">
        <v>74.0516153726428</v>
      </c>
      <c r="K28" s="1">
        <v>27</v>
      </c>
      <c r="L28">
        <v>-0.110020514166947</v>
      </c>
      <c r="M28">
        <v>0.236860490982052</v>
      </c>
      <c r="N28">
        <v>0.35751502257497397</v>
      </c>
      <c r="O28">
        <v>0.67590200112734</v>
      </c>
      <c r="P28">
        <v>0.82004381253625203</v>
      </c>
      <c r="Q28">
        <v>1.0714966347597601</v>
      </c>
      <c r="R28">
        <v>1.1279587925638901</v>
      </c>
      <c r="T28">
        <f t="shared" si="0"/>
        <v>-0.11002051416694698</v>
      </c>
      <c r="U28">
        <f t="shared" si="1"/>
        <v>0.23686049098205167</v>
      </c>
      <c r="V28">
        <f t="shared" si="2"/>
        <v>0.35751502257497403</v>
      </c>
      <c r="W28">
        <f t="shared" si="3"/>
        <v>0.67590200112733956</v>
      </c>
      <c r="X28">
        <f t="shared" si="4"/>
        <v>0.82004381253625158</v>
      </c>
      <c r="Y28">
        <f t="shared" si="5"/>
        <v>1.0714966347597614</v>
      </c>
      <c r="Z28">
        <f t="shared" si="6"/>
        <v>1.1279587925638883</v>
      </c>
    </row>
    <row r="29" spans="1:26" x14ac:dyDescent="0.2">
      <c r="A29" s="1">
        <v>28</v>
      </c>
      <c r="B29">
        <v>-1.7047521949156199</v>
      </c>
      <c r="C29">
        <v>-5.9278943464762097</v>
      </c>
      <c r="D29">
        <v>-0.20743081518877601</v>
      </c>
      <c r="E29">
        <v>10.375233132376801</v>
      </c>
      <c r="F29">
        <v>16.561330389333399</v>
      </c>
      <c r="G29">
        <v>40.434550614409702</v>
      </c>
      <c r="H29">
        <v>61.022767545979796</v>
      </c>
      <c r="I29">
        <v>75.036356259116999</v>
      </c>
      <c r="K29" s="1">
        <v>28</v>
      </c>
      <c r="L29">
        <v>-0.42231421515605899</v>
      </c>
      <c r="M29">
        <v>7.4866068986342002E-2</v>
      </c>
      <c r="N29">
        <v>0.40266617757641598</v>
      </c>
      <c r="O29">
        <v>0.45665206460622698</v>
      </c>
      <c r="P29">
        <v>0.84278605618650604</v>
      </c>
      <c r="Q29">
        <v>1.04545866234826</v>
      </c>
      <c r="R29">
        <v>1.0963015493433199</v>
      </c>
      <c r="T29">
        <f t="shared" si="0"/>
        <v>-0.42231421515605899</v>
      </c>
      <c r="U29">
        <f t="shared" si="1"/>
        <v>7.4866068986342196E-2</v>
      </c>
      <c r="V29">
        <f t="shared" si="2"/>
        <v>0.40266617757641404</v>
      </c>
      <c r="W29">
        <f t="shared" si="3"/>
        <v>0.45665206460622548</v>
      </c>
      <c r="X29">
        <f t="shared" si="4"/>
        <v>0.84278605618650648</v>
      </c>
      <c r="Y29">
        <f t="shared" si="5"/>
        <v>1.0454586623482569</v>
      </c>
      <c r="Z29">
        <f t="shared" si="6"/>
        <v>1.096301549343323</v>
      </c>
    </row>
    <row r="30" spans="1:26" x14ac:dyDescent="0.2">
      <c r="A30" s="1">
        <v>29</v>
      </c>
      <c r="B30">
        <v>10.3214646760806</v>
      </c>
      <c r="C30">
        <v>13.872432368691801</v>
      </c>
      <c r="D30">
        <v>11.820501888856301</v>
      </c>
      <c r="E30">
        <v>20.792427525019001</v>
      </c>
      <c r="F30">
        <v>29.055498089482999</v>
      </c>
      <c r="G30">
        <v>42.322913588832101</v>
      </c>
      <c r="H30">
        <v>56.337680290905901</v>
      </c>
      <c r="I30">
        <v>77.020338881129604</v>
      </c>
      <c r="K30" s="1">
        <v>29</v>
      </c>
      <c r="L30">
        <v>0.35509676926112099</v>
      </c>
      <c r="M30">
        <v>7.4951860638786102E-2</v>
      </c>
      <c r="N30">
        <v>0.34903209496461401</v>
      </c>
      <c r="O30">
        <v>0.46835083533506</v>
      </c>
      <c r="P30">
        <v>0.64002897825502902</v>
      </c>
      <c r="Q30">
        <v>0.76693692691375503</v>
      </c>
      <c r="R30">
        <v>0.95284106007212799</v>
      </c>
      <c r="T30">
        <f t="shared" si="0"/>
        <v>0.35509676926112005</v>
      </c>
      <c r="U30">
        <f t="shared" si="1"/>
        <v>7.4951860638785034E-2</v>
      </c>
      <c r="V30">
        <f t="shared" si="2"/>
        <v>0.34903209496461335</v>
      </c>
      <c r="W30">
        <f t="shared" si="3"/>
        <v>0.46835083533506</v>
      </c>
      <c r="X30">
        <f t="shared" si="4"/>
        <v>0.64002897825503002</v>
      </c>
      <c r="Y30">
        <f t="shared" si="5"/>
        <v>0.76693692691375503</v>
      </c>
      <c r="Z30">
        <f t="shared" si="6"/>
        <v>0.95284106007212865</v>
      </c>
    </row>
    <row r="31" spans="1:26" x14ac:dyDescent="0.2">
      <c r="A31" s="1">
        <v>30</v>
      </c>
      <c r="B31">
        <v>-7.8819180195847904</v>
      </c>
      <c r="C31">
        <v>-5.7629440430947101</v>
      </c>
      <c r="D31">
        <v>-5.7615295907388804</v>
      </c>
      <c r="E31">
        <v>3.28202801288288</v>
      </c>
      <c r="F31">
        <v>7.1493894486361196</v>
      </c>
      <c r="G31">
        <v>32.128291640475098</v>
      </c>
      <c r="H31">
        <v>45.984329091895297</v>
      </c>
      <c r="I31">
        <v>68.072448167369103</v>
      </c>
      <c r="K31" s="1">
        <v>30</v>
      </c>
      <c r="L31">
        <v>0.211897397649008</v>
      </c>
      <c r="M31" s="3">
        <v>0.10601942144229499</v>
      </c>
      <c r="N31">
        <v>0.37213153441558899</v>
      </c>
      <c r="O31">
        <v>0.37578268670552301</v>
      </c>
      <c r="P31">
        <v>0.80020419320119696</v>
      </c>
      <c r="Q31">
        <v>0.89777078519133502</v>
      </c>
      <c r="R31">
        <v>1.0850623740993399</v>
      </c>
      <c r="T31">
        <f t="shared" si="0"/>
        <v>0.21189739764900803</v>
      </c>
      <c r="U31">
        <f t="shared" si="1"/>
        <v>0.10601942144229551</v>
      </c>
      <c r="V31">
        <f t="shared" si="2"/>
        <v>0.37213153441558899</v>
      </c>
      <c r="W31">
        <f t="shared" si="3"/>
        <v>0.37578268670552273</v>
      </c>
      <c r="X31">
        <f t="shared" si="4"/>
        <v>0.80020419320119773</v>
      </c>
      <c r="Y31">
        <f t="shared" si="5"/>
        <v>0.8977707851913348</v>
      </c>
      <c r="Z31">
        <f t="shared" si="6"/>
        <v>1.0850623740993413</v>
      </c>
    </row>
    <row r="32" spans="1:26" x14ac:dyDescent="0.2">
      <c r="A32" s="1">
        <v>31</v>
      </c>
      <c r="B32">
        <v>-12.052030232613999</v>
      </c>
      <c r="C32">
        <v>-11.7627285272678</v>
      </c>
      <c r="D32">
        <v>-13.2832062400248</v>
      </c>
      <c r="E32">
        <v>-5.0230320130776001</v>
      </c>
      <c r="F32">
        <v>-5.82689312064372</v>
      </c>
      <c r="G32">
        <v>14.4003839106658</v>
      </c>
      <c r="H32">
        <v>75.370483489564506</v>
      </c>
      <c r="I32">
        <v>94.215969161345498</v>
      </c>
      <c r="K32" s="1">
        <v>31</v>
      </c>
      <c r="L32">
        <v>2.8930170534619801E-2</v>
      </c>
      <c r="M32">
        <v>-6.1558800370540803E-2</v>
      </c>
      <c r="N32">
        <v>0.23429994065121301</v>
      </c>
      <c r="O32">
        <v>0.15562842779925701</v>
      </c>
      <c r="P32">
        <v>0.52904828286559702</v>
      </c>
      <c r="Q32">
        <v>1.45704189536964</v>
      </c>
      <c r="R32">
        <v>1.5181142770565601</v>
      </c>
      <c r="T32">
        <f t="shared" si="0"/>
        <v>2.8930170534619926E-2</v>
      </c>
      <c r="U32">
        <f t="shared" si="1"/>
        <v>-6.1558800370540026E-2</v>
      </c>
      <c r="V32">
        <f t="shared" si="2"/>
        <v>0.23429994065121332</v>
      </c>
      <c r="W32">
        <f t="shared" si="3"/>
        <v>0.15562842779925698</v>
      </c>
      <c r="X32">
        <f t="shared" si="4"/>
        <v>0.52904828286559602</v>
      </c>
      <c r="Y32">
        <f t="shared" si="5"/>
        <v>1.4570418953696418</v>
      </c>
      <c r="Z32">
        <f t="shared" si="6"/>
        <v>1.5181142770565643</v>
      </c>
    </row>
    <row r="33" spans="1:26" x14ac:dyDescent="0.2">
      <c r="A33" s="1">
        <v>32</v>
      </c>
      <c r="B33">
        <v>-15.797528658893</v>
      </c>
      <c r="C33">
        <v>-9.9499058934141793</v>
      </c>
      <c r="D33">
        <v>-11.120158620045499</v>
      </c>
      <c r="E33">
        <v>-5.8746758322502597</v>
      </c>
      <c r="F33">
        <v>-8.8706977572631907</v>
      </c>
      <c r="G33">
        <v>4.2922525200286401</v>
      </c>
      <c r="H33">
        <v>32.188031101309498</v>
      </c>
      <c r="I33">
        <v>47.433466096066098</v>
      </c>
      <c r="K33" s="1">
        <v>32</v>
      </c>
      <c r="L33">
        <v>0.58476227654787805</v>
      </c>
      <c r="M33">
        <v>0.23386850194237499</v>
      </c>
      <c r="N33">
        <v>0.33076176088809001</v>
      </c>
      <c r="O33">
        <v>0.17317077254074401</v>
      </c>
      <c r="P33">
        <v>0.40179562357843202</v>
      </c>
      <c r="Q33">
        <v>0.79975932933670801</v>
      </c>
      <c r="R33">
        <v>0.903299925070844</v>
      </c>
      <c r="T33">
        <f t="shared" si="0"/>
        <v>0.58476227654788215</v>
      </c>
      <c r="U33">
        <f>(D33-B33)/20</f>
        <v>0.23386850194237505</v>
      </c>
      <c r="V33">
        <f t="shared" si="2"/>
        <v>0.33076176088809134</v>
      </c>
      <c r="W33">
        <f t="shared" si="3"/>
        <v>0.17317077254074525</v>
      </c>
      <c r="X33">
        <f t="shared" si="4"/>
        <v>0.40179562357843279</v>
      </c>
      <c r="Y33">
        <f t="shared" si="5"/>
        <v>0.79975932933670835</v>
      </c>
      <c r="Z33">
        <f t="shared" si="6"/>
        <v>0.90329992507084422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E1ED-4A3A-F44C-83C7-B23F64B9D265}">
  <dimension ref="A1:Z33"/>
  <sheetViews>
    <sheetView workbookViewId="0">
      <selection activeCell="A37" sqref="A37"/>
    </sheetView>
  </sheetViews>
  <sheetFormatPr baseColWidth="10" defaultRowHeight="16" x14ac:dyDescent="0.2"/>
  <sheetData>
    <row r="1" spans="1:26" x14ac:dyDescent="0.2">
      <c r="A1" s="2" t="s">
        <v>0</v>
      </c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K1" s="2" t="s">
        <v>1</v>
      </c>
      <c r="L1" s="1">
        <v>10</v>
      </c>
      <c r="M1" s="1">
        <v>20</v>
      </c>
      <c r="N1" s="1">
        <v>30</v>
      </c>
      <c r="O1" s="1">
        <v>40</v>
      </c>
      <c r="P1" s="1">
        <v>50</v>
      </c>
      <c r="Q1" s="1">
        <v>60</v>
      </c>
      <c r="R1" s="1">
        <v>70</v>
      </c>
      <c r="T1" s="1"/>
      <c r="U1" s="1"/>
      <c r="V1" s="1"/>
      <c r="W1" s="1"/>
      <c r="X1" s="1"/>
      <c r="Y1" s="1"/>
      <c r="Z1" s="1"/>
    </row>
    <row r="2" spans="1:26" x14ac:dyDescent="0.2">
      <c r="A2" s="1">
        <v>1</v>
      </c>
      <c r="B2">
        <v>-2.37657857838271</v>
      </c>
      <c r="C2">
        <v>-1.0753308435248199</v>
      </c>
      <c r="D2">
        <v>7.0538055661989998E-3</v>
      </c>
      <c r="E2">
        <v>-2.7236413937720201</v>
      </c>
      <c r="F2">
        <v>2.63667429279355</v>
      </c>
      <c r="G2">
        <v>17.040283201915301</v>
      </c>
      <c r="H2">
        <v>35.105994085572</v>
      </c>
      <c r="I2">
        <v>48.062728400112199</v>
      </c>
      <c r="K2" s="1">
        <v>1</v>
      </c>
      <c r="L2">
        <v>0.13012477348578799</v>
      </c>
      <c r="M2">
        <v>0.11918161919744601</v>
      </c>
      <c r="N2">
        <v>-1.1568760512977E-2</v>
      </c>
      <c r="O2">
        <v>0.12533132177940701</v>
      </c>
      <c r="P2">
        <v>0.38833723560596101</v>
      </c>
      <c r="Q2">
        <v>0.62470954439924598</v>
      </c>
      <c r="R2">
        <v>0.72056152826421405</v>
      </c>
    </row>
    <row r="3" spans="1:26" x14ac:dyDescent="0.2">
      <c r="A3" s="1">
        <v>2</v>
      </c>
      <c r="B3">
        <v>6.0371394949570796</v>
      </c>
      <c r="C3">
        <v>4.7442781010280397</v>
      </c>
      <c r="D3">
        <v>6.6374252579651403</v>
      </c>
      <c r="E3">
        <v>7.1930756301743699</v>
      </c>
      <c r="F3">
        <v>11.561942810739</v>
      </c>
      <c r="G3">
        <v>31.735560663550299</v>
      </c>
      <c r="H3">
        <v>65.453409083572893</v>
      </c>
      <c r="I3">
        <v>84.677371951011295</v>
      </c>
      <c r="K3" s="1">
        <v>2</v>
      </c>
      <c r="L3">
        <v>-0.12928613939290401</v>
      </c>
      <c r="M3">
        <v>3.0014288150402999E-2</v>
      </c>
      <c r="N3">
        <v>3.8531204507242997E-2</v>
      </c>
      <c r="O3">
        <v>0.138120082894548</v>
      </c>
      <c r="P3">
        <v>0.51396842337186399</v>
      </c>
      <c r="Q3">
        <v>0.99027115981026403</v>
      </c>
      <c r="R3">
        <v>1.12343189222934</v>
      </c>
    </row>
    <row r="4" spans="1:26" x14ac:dyDescent="0.2">
      <c r="A4" s="1">
        <v>3</v>
      </c>
      <c r="B4">
        <v>-1.43200938347206</v>
      </c>
      <c r="C4">
        <v>-5.5394928535213497</v>
      </c>
      <c r="D4">
        <v>-1.9766495430387601</v>
      </c>
      <c r="E4">
        <v>-2.7302242493347801</v>
      </c>
      <c r="F4">
        <v>13.4397930892882</v>
      </c>
      <c r="G4">
        <v>21.240675741484502</v>
      </c>
      <c r="H4">
        <v>35.504266601351098</v>
      </c>
      <c r="I4">
        <v>45.051564777397402</v>
      </c>
      <c r="K4" s="1">
        <v>3</v>
      </c>
      <c r="L4">
        <v>-0.41074834700492902</v>
      </c>
      <c r="M4">
        <v>-2.7232007978334999E-2</v>
      </c>
      <c r="N4">
        <v>-4.3273828862091003E-2</v>
      </c>
      <c r="O4">
        <v>0.37179506181900701</v>
      </c>
      <c r="P4">
        <v>0.45345370249913097</v>
      </c>
      <c r="Q4">
        <v>0.61560459974705195</v>
      </c>
      <c r="R4">
        <v>0.66405105944099196</v>
      </c>
    </row>
    <row r="5" spans="1:26" x14ac:dyDescent="0.2">
      <c r="A5" s="1">
        <v>4</v>
      </c>
      <c r="B5">
        <v>-4.2908939665453198</v>
      </c>
      <c r="C5">
        <v>-7.02672350684223</v>
      </c>
      <c r="D5">
        <v>-8.6535552771013808</v>
      </c>
      <c r="E5">
        <v>-0.63787845943889498</v>
      </c>
      <c r="F5">
        <v>4.5197327511676404</v>
      </c>
      <c r="G5">
        <v>20.391962863802199</v>
      </c>
      <c r="H5">
        <v>50.792568258501497</v>
      </c>
      <c r="I5">
        <v>61.603397242693298</v>
      </c>
      <c r="K5" s="1">
        <v>4</v>
      </c>
      <c r="L5">
        <v>-0.27358295402969002</v>
      </c>
      <c r="M5">
        <v>-0.21813306552780301</v>
      </c>
      <c r="N5">
        <v>0.121767183570214</v>
      </c>
      <c r="O5">
        <v>0.22026566794282401</v>
      </c>
      <c r="P5">
        <v>0.49365713660694899</v>
      </c>
      <c r="Q5">
        <v>0.91805770375078</v>
      </c>
      <c r="R5">
        <v>0.94134701727483705</v>
      </c>
    </row>
    <row r="6" spans="1:26" x14ac:dyDescent="0.2">
      <c r="A6" s="1">
        <v>5</v>
      </c>
      <c r="B6">
        <v>1.21251728174736</v>
      </c>
      <c r="C6">
        <v>-2.7345030105932599E-2</v>
      </c>
      <c r="D6">
        <v>0.70032823906616404</v>
      </c>
      <c r="E6">
        <v>2.41961227227503</v>
      </c>
      <c r="F6">
        <v>16.2659322979551</v>
      </c>
      <c r="G6">
        <v>36.465027253379098</v>
      </c>
      <c r="H6">
        <v>49.459733172117602</v>
      </c>
      <c r="I6">
        <v>54.676479025773801</v>
      </c>
      <c r="K6" s="1">
        <v>5</v>
      </c>
      <c r="L6">
        <v>-0.12398623118533</v>
      </c>
      <c r="M6">
        <v>-2.5609452134060001E-2</v>
      </c>
      <c r="N6">
        <v>4.0236499684255002E-2</v>
      </c>
      <c r="O6">
        <v>0.37633537540519302</v>
      </c>
      <c r="P6">
        <v>0.70505019943263303</v>
      </c>
      <c r="Q6">
        <v>0.80412026483950205</v>
      </c>
      <c r="R6">
        <v>0.76377088205751997</v>
      </c>
    </row>
    <row r="7" spans="1:26" x14ac:dyDescent="0.2">
      <c r="A7" s="1">
        <v>6</v>
      </c>
      <c r="B7">
        <v>-17.136067027733802</v>
      </c>
      <c r="C7">
        <v>-20.237277966187602</v>
      </c>
      <c r="D7">
        <v>-24.864738805096</v>
      </c>
      <c r="E7">
        <v>-27.1246698311211</v>
      </c>
      <c r="F7">
        <v>0.78885376608784896</v>
      </c>
      <c r="G7">
        <v>20.358609990820199</v>
      </c>
      <c r="H7">
        <v>35.937844821861702</v>
      </c>
      <c r="I7">
        <v>50.771828416818202</v>
      </c>
      <c r="K7" s="1">
        <v>6</v>
      </c>
      <c r="L7">
        <v>-0.310121093845377</v>
      </c>
      <c r="M7">
        <v>-0.38643358886810703</v>
      </c>
      <c r="N7">
        <v>-0.33295342677957701</v>
      </c>
      <c r="O7">
        <v>0.44812301984554298</v>
      </c>
      <c r="P7">
        <v>0.74989354037108102</v>
      </c>
      <c r="Q7">
        <v>0.88456519749326101</v>
      </c>
      <c r="R7">
        <v>0.97011279206503098</v>
      </c>
    </row>
    <row r="8" spans="1:26" x14ac:dyDescent="0.2">
      <c r="A8" s="1">
        <v>7</v>
      </c>
      <c r="B8">
        <v>10.658274966847699</v>
      </c>
      <c r="C8">
        <v>9.6113975594977408</v>
      </c>
      <c r="D8">
        <v>11.2688830267799</v>
      </c>
      <c r="E8">
        <v>17.503635013125699</v>
      </c>
      <c r="F8">
        <v>25.781871536177501</v>
      </c>
      <c r="G8">
        <v>37.138668334899798</v>
      </c>
      <c r="H8">
        <v>39.637784802831902</v>
      </c>
      <c r="I8">
        <v>65.997188432464</v>
      </c>
      <c r="K8" s="1">
        <v>7</v>
      </c>
      <c r="L8">
        <v>-0.104687740734991</v>
      </c>
      <c r="M8">
        <v>3.0530402996611E-2</v>
      </c>
      <c r="N8">
        <v>0.22817866820926899</v>
      </c>
      <c r="O8">
        <v>0.37808991423324601</v>
      </c>
      <c r="P8">
        <v>0.52960786736104404</v>
      </c>
      <c r="Q8">
        <v>0.48299183059973899</v>
      </c>
      <c r="R8">
        <v>0.79055590665166298</v>
      </c>
    </row>
    <row r="9" spans="1:26" x14ac:dyDescent="0.2">
      <c r="A9" s="1">
        <v>8</v>
      </c>
      <c r="B9">
        <v>2.96441398346197</v>
      </c>
      <c r="C9">
        <v>8.6042120267573399</v>
      </c>
      <c r="D9">
        <v>15.3993653544156</v>
      </c>
      <c r="E9">
        <v>21.565466944625399</v>
      </c>
      <c r="F9">
        <v>28.038790234658499</v>
      </c>
      <c r="G9">
        <v>39.951961745157099</v>
      </c>
      <c r="H9">
        <v>53.816527697052301</v>
      </c>
      <c r="I9">
        <v>68.577172547297593</v>
      </c>
      <c r="K9" s="1">
        <v>8</v>
      </c>
      <c r="L9">
        <v>0.56397980432953798</v>
      </c>
      <c r="M9">
        <v>0.62174756854768298</v>
      </c>
      <c r="N9">
        <v>0.62003509870544704</v>
      </c>
      <c r="O9">
        <v>0.62685940627991499</v>
      </c>
      <c r="P9">
        <v>0.739750955233904</v>
      </c>
      <c r="Q9">
        <v>0.84753522855983898</v>
      </c>
      <c r="R9">
        <v>0.93732512234050902</v>
      </c>
    </row>
    <row r="10" spans="1:26" x14ac:dyDescent="0.2">
      <c r="A10" s="1">
        <v>9</v>
      </c>
      <c r="B10">
        <v>2.53173223914458</v>
      </c>
      <c r="C10">
        <v>3.0423497402112498</v>
      </c>
      <c r="D10">
        <v>1.7422912621794899</v>
      </c>
      <c r="E10">
        <v>-1.11182853885246</v>
      </c>
      <c r="F10">
        <v>3.2850796713357302</v>
      </c>
      <c r="G10">
        <v>8.7232411521873292</v>
      </c>
      <c r="H10">
        <v>20.270445715958601</v>
      </c>
      <c r="I10">
        <v>35.704716106993097</v>
      </c>
      <c r="K10" s="1">
        <v>9</v>
      </c>
      <c r="L10">
        <v>5.1061750106666998E-2</v>
      </c>
      <c r="M10">
        <v>-3.9472048848253997E-2</v>
      </c>
      <c r="N10">
        <v>-0.12145202593323499</v>
      </c>
      <c r="O10">
        <v>1.8833685804779E-2</v>
      </c>
      <c r="P10">
        <v>0.123830178260855</v>
      </c>
      <c r="Q10">
        <v>0.29564522461356701</v>
      </c>
      <c r="R10">
        <v>0.47389976954069302</v>
      </c>
    </row>
    <row r="11" spans="1:26" x14ac:dyDescent="0.2">
      <c r="A11" s="1">
        <v>10</v>
      </c>
      <c r="B11">
        <v>-4.00998083572407</v>
      </c>
      <c r="C11">
        <v>2.5541063734908902</v>
      </c>
      <c r="D11">
        <v>1.9370647283587501</v>
      </c>
      <c r="E11">
        <v>3.8800940921023899</v>
      </c>
      <c r="F11">
        <v>8.4004843914603597</v>
      </c>
      <c r="G11">
        <v>24.282857492785102</v>
      </c>
      <c r="H11">
        <v>30.536631871081799</v>
      </c>
      <c r="I11">
        <v>44.369380650307697</v>
      </c>
      <c r="K11" s="1">
        <v>10</v>
      </c>
      <c r="L11">
        <v>0.65640872092149605</v>
      </c>
      <c r="M11">
        <v>0.29735227820414101</v>
      </c>
      <c r="N11">
        <v>0.26300249759421501</v>
      </c>
      <c r="O11">
        <v>0.31026163067961099</v>
      </c>
      <c r="P11">
        <v>0.56585676657018302</v>
      </c>
      <c r="Q11">
        <v>0.57577687844676495</v>
      </c>
      <c r="R11">
        <v>0.69113373551474</v>
      </c>
    </row>
    <row r="12" spans="1:26" x14ac:dyDescent="0.2">
      <c r="A12" s="1">
        <v>11</v>
      </c>
      <c r="B12">
        <v>18.296839691136999</v>
      </c>
      <c r="C12">
        <v>22.374689625773801</v>
      </c>
      <c r="D12">
        <v>20.231980600841599</v>
      </c>
      <c r="E12">
        <v>24.916243384335001</v>
      </c>
      <c r="F12">
        <v>30.669918541264099</v>
      </c>
      <c r="G12">
        <v>41.036061540501002</v>
      </c>
      <c r="H12">
        <v>62.276642239951201</v>
      </c>
      <c r="I12">
        <v>74.459054399636798</v>
      </c>
      <c r="K12" s="1">
        <v>11</v>
      </c>
      <c r="L12">
        <v>0.40778499346368402</v>
      </c>
      <c r="M12">
        <v>9.6757045485230994E-2</v>
      </c>
      <c r="N12">
        <v>0.22064678977326899</v>
      </c>
      <c r="O12">
        <v>0.30932697125317898</v>
      </c>
      <c r="P12">
        <v>0.45478443698727999</v>
      </c>
      <c r="Q12">
        <v>0.73299670914690296</v>
      </c>
      <c r="R12">
        <v>0.80231735297856999</v>
      </c>
    </row>
    <row r="13" spans="1:26" x14ac:dyDescent="0.2">
      <c r="A13" s="1">
        <v>12</v>
      </c>
      <c r="B13">
        <v>-31.919286281301201</v>
      </c>
      <c r="C13">
        <v>-31.690932298018001</v>
      </c>
      <c r="D13">
        <v>-31.790622840943701</v>
      </c>
      <c r="E13">
        <v>-28.720852150763701</v>
      </c>
      <c r="F13">
        <v>-25.734083248807799</v>
      </c>
      <c r="G13">
        <v>-13.5174118584106</v>
      </c>
      <c r="H13">
        <v>23.606700114155299</v>
      </c>
      <c r="I13">
        <v>63.830957834545401</v>
      </c>
      <c r="K13" s="1">
        <v>12</v>
      </c>
      <c r="L13">
        <v>2.2835398328327001E-2</v>
      </c>
      <c r="M13">
        <v>6.4331720178780003E-3</v>
      </c>
      <c r="N13">
        <v>0.106614471017917</v>
      </c>
      <c r="O13">
        <v>0.15463007581233701</v>
      </c>
      <c r="P13">
        <v>0.36803748845781298</v>
      </c>
      <c r="Q13">
        <v>0.92543310659094202</v>
      </c>
      <c r="R13">
        <v>1.36786063022638</v>
      </c>
    </row>
    <row r="14" spans="1:26" x14ac:dyDescent="0.2">
      <c r="A14" s="1">
        <v>13</v>
      </c>
      <c r="B14">
        <v>17.857165343155</v>
      </c>
      <c r="C14">
        <v>21.6168635349987</v>
      </c>
      <c r="D14">
        <v>24.679397382345901</v>
      </c>
      <c r="E14">
        <v>25.805819540162801</v>
      </c>
      <c r="F14">
        <v>31.7029778081417</v>
      </c>
      <c r="G14">
        <v>36.706289673872902</v>
      </c>
      <c r="H14">
        <v>44.372623568355998</v>
      </c>
      <c r="I14">
        <v>50.970782940111299</v>
      </c>
      <c r="K14" s="1">
        <v>13</v>
      </c>
      <c r="L14">
        <v>0.375969819184377</v>
      </c>
      <c r="M14">
        <v>0.34111160195954598</v>
      </c>
      <c r="N14">
        <v>0.26495513990025998</v>
      </c>
      <c r="O14">
        <v>0.346145311624668</v>
      </c>
      <c r="P14">
        <v>0.37698248661435801</v>
      </c>
      <c r="Q14">
        <v>0.44192430375335101</v>
      </c>
      <c r="R14">
        <v>0.47305167995651898</v>
      </c>
    </row>
    <row r="15" spans="1:26" x14ac:dyDescent="0.2">
      <c r="A15" s="1">
        <v>14</v>
      </c>
      <c r="B15">
        <v>-16.920938278487899</v>
      </c>
      <c r="C15">
        <v>-8.6331032243730803</v>
      </c>
      <c r="D15">
        <v>-18.294987940329001</v>
      </c>
      <c r="E15">
        <v>-11.4021549774737</v>
      </c>
      <c r="F15">
        <v>6.5628044372058101</v>
      </c>
      <c r="G15">
        <v>20.673782645429799</v>
      </c>
      <c r="H15">
        <v>36.458573492183199</v>
      </c>
      <c r="I15">
        <v>64.853612298549194</v>
      </c>
      <c r="K15" s="1">
        <v>14</v>
      </c>
      <c r="L15">
        <v>0.82878350541148205</v>
      </c>
      <c r="M15">
        <v>-6.8702483092053998E-2</v>
      </c>
      <c r="N15">
        <v>0.18395944336713899</v>
      </c>
      <c r="O15">
        <v>0.58709356789234302</v>
      </c>
      <c r="P15">
        <v>0.75189441847835403</v>
      </c>
      <c r="Q15">
        <v>0.88965852951118596</v>
      </c>
      <c r="R15">
        <v>1.16820786538624</v>
      </c>
    </row>
    <row r="16" spans="1:26" x14ac:dyDescent="0.2">
      <c r="A16" s="1">
        <v>15</v>
      </c>
      <c r="B16">
        <v>-15.0628001914134</v>
      </c>
      <c r="C16">
        <v>-9.4967185246683599</v>
      </c>
      <c r="D16">
        <v>-8.0001154168881996</v>
      </c>
      <c r="E16">
        <v>-5.3724331315541303</v>
      </c>
      <c r="F16">
        <v>15.8664451173074</v>
      </c>
      <c r="G16">
        <v>30.5047564292624</v>
      </c>
      <c r="H16">
        <v>53.057341941501399</v>
      </c>
      <c r="I16">
        <v>98.092694916491993</v>
      </c>
      <c r="K16" s="1">
        <v>15</v>
      </c>
      <c r="L16">
        <v>0.55660816667449897</v>
      </c>
      <c r="M16">
        <v>0.35313423872625799</v>
      </c>
      <c r="N16">
        <v>0.32301223532864098</v>
      </c>
      <c r="O16">
        <v>0.77323113271801802</v>
      </c>
      <c r="P16">
        <v>0.91135113241351495</v>
      </c>
      <c r="Q16">
        <v>1.1353357022152399</v>
      </c>
      <c r="R16">
        <v>1.6165070729700699</v>
      </c>
    </row>
    <row r="17" spans="1:18" x14ac:dyDescent="0.2">
      <c r="A17" s="1">
        <v>16</v>
      </c>
      <c r="B17">
        <v>15.2200991397454</v>
      </c>
      <c r="C17">
        <v>16.974731668972201</v>
      </c>
      <c r="D17">
        <v>21.900325929841198</v>
      </c>
      <c r="E17">
        <v>19.233333445470102</v>
      </c>
      <c r="F17">
        <v>33.697658842598997</v>
      </c>
      <c r="G17">
        <v>49.642263077356802</v>
      </c>
      <c r="H17">
        <v>68.847677837752798</v>
      </c>
      <c r="I17">
        <v>85.892907625025202</v>
      </c>
      <c r="K17" s="1">
        <v>16</v>
      </c>
      <c r="L17">
        <v>0.175463252922677</v>
      </c>
      <c r="M17">
        <v>0.33401133950479001</v>
      </c>
      <c r="N17">
        <v>0.13377447685749</v>
      </c>
      <c r="O17">
        <v>0.46193899257134002</v>
      </c>
      <c r="P17">
        <v>0.68844327875222799</v>
      </c>
      <c r="Q17">
        <v>0.89379297830012505</v>
      </c>
      <c r="R17">
        <v>1.00961154978971</v>
      </c>
    </row>
    <row r="18" spans="1:18" x14ac:dyDescent="0.2">
      <c r="A18" s="1">
        <v>17</v>
      </c>
      <c r="B18">
        <v>-22.843467380749999</v>
      </c>
      <c r="C18">
        <v>-14.1313846563423</v>
      </c>
      <c r="D18">
        <v>-13.9810937088273</v>
      </c>
      <c r="E18">
        <v>-19.347780857109498</v>
      </c>
      <c r="F18">
        <v>1.5510061976006699</v>
      </c>
      <c r="G18">
        <v>29.263077423769001</v>
      </c>
      <c r="H18">
        <v>56.240339825392901</v>
      </c>
      <c r="I18">
        <v>75.705742083861793</v>
      </c>
      <c r="K18" s="1">
        <v>17</v>
      </c>
      <c r="L18">
        <v>0.87120827244076504</v>
      </c>
      <c r="M18">
        <v>0.44311868359613399</v>
      </c>
      <c r="N18">
        <v>0.11652288412134799</v>
      </c>
      <c r="O18">
        <v>0.60986183945876704</v>
      </c>
      <c r="P18">
        <v>1.0421308960903799</v>
      </c>
      <c r="Q18">
        <v>1.3180634534357101</v>
      </c>
      <c r="R18">
        <v>1.4078458494944499</v>
      </c>
    </row>
    <row r="19" spans="1:18" x14ac:dyDescent="0.2">
      <c r="A19" s="1">
        <v>18</v>
      </c>
      <c r="B19">
        <v>19.628666995325499</v>
      </c>
      <c r="C19">
        <v>26.182725025637001</v>
      </c>
      <c r="D19">
        <v>23.685722799644399</v>
      </c>
      <c r="E19">
        <v>34.377800611576198</v>
      </c>
      <c r="F19">
        <v>37.373968381334997</v>
      </c>
      <c r="G19">
        <v>51.182032947745199</v>
      </c>
      <c r="H19">
        <v>68.176111851379304</v>
      </c>
      <c r="I19">
        <v>84.425861281882803</v>
      </c>
      <c r="K19" s="1">
        <v>18</v>
      </c>
      <c r="L19">
        <v>0.65540580303115303</v>
      </c>
      <c r="M19">
        <v>0.20285279021594599</v>
      </c>
      <c r="N19">
        <v>0.49163778720835699</v>
      </c>
      <c r="O19">
        <v>0.443632534650237</v>
      </c>
      <c r="P19">
        <v>0.63106731904839397</v>
      </c>
      <c r="Q19">
        <v>0.80912408093423005</v>
      </c>
      <c r="R19">
        <v>0.92567420409367596</v>
      </c>
    </row>
    <row r="20" spans="1:18" x14ac:dyDescent="0.2">
      <c r="A20" s="1">
        <v>19</v>
      </c>
      <c r="B20">
        <v>17.627502631136601</v>
      </c>
      <c r="C20">
        <v>11.4096257896124</v>
      </c>
      <c r="D20">
        <v>10.125366911504701</v>
      </c>
      <c r="E20">
        <v>22.067146318365001</v>
      </c>
      <c r="F20">
        <v>25.675085680721999</v>
      </c>
      <c r="G20">
        <v>44.195764771951502</v>
      </c>
      <c r="H20">
        <v>61.953844587655603</v>
      </c>
      <c r="I20">
        <v>72.677237633230902</v>
      </c>
      <c r="K20" s="1">
        <v>19</v>
      </c>
      <c r="L20">
        <v>-0.62178768415242203</v>
      </c>
      <c r="M20">
        <v>-0.37510678598159902</v>
      </c>
      <c r="N20">
        <v>0.14798812290761101</v>
      </c>
      <c r="O20">
        <v>0.20118957623963299</v>
      </c>
      <c r="P20">
        <v>0.53136524281629705</v>
      </c>
      <c r="Q20">
        <v>0.73877236594198203</v>
      </c>
      <c r="R20">
        <v>0.78642478574420305</v>
      </c>
    </row>
    <row r="21" spans="1:18" x14ac:dyDescent="0.2">
      <c r="A21" s="1">
        <v>20</v>
      </c>
      <c r="B21">
        <v>-23.2974347888415</v>
      </c>
      <c r="C21">
        <v>-20.1860308609116</v>
      </c>
      <c r="D21">
        <v>-21.299672661395402</v>
      </c>
      <c r="E21">
        <v>-15.479091596276801</v>
      </c>
      <c r="F21">
        <v>-11.4680232986228</v>
      </c>
      <c r="G21">
        <v>18.1157317708462</v>
      </c>
      <c r="H21">
        <v>31.975686110270001</v>
      </c>
      <c r="I21">
        <v>51.759895484231301</v>
      </c>
      <c r="K21" s="1">
        <v>20</v>
      </c>
      <c r="L21">
        <v>0.311140392792988</v>
      </c>
      <c r="M21">
        <v>9.9888106372303997E-2</v>
      </c>
      <c r="N21">
        <v>0.260611439752156</v>
      </c>
      <c r="O21">
        <v>0.29573528725546699</v>
      </c>
      <c r="P21">
        <v>0.82826333119375195</v>
      </c>
      <c r="Q21">
        <v>0.92121868165185805</v>
      </c>
      <c r="R21">
        <v>1.0722475753296099</v>
      </c>
    </row>
    <row r="22" spans="1:18" x14ac:dyDescent="0.2">
      <c r="A22" s="1">
        <v>21</v>
      </c>
      <c r="B22">
        <v>28.492865879827701</v>
      </c>
      <c r="C22">
        <v>25.946809209692201</v>
      </c>
      <c r="D22">
        <v>30.6060785655344</v>
      </c>
      <c r="E22">
        <v>30.585043745177199</v>
      </c>
      <c r="F22">
        <v>33.812686500434197</v>
      </c>
      <c r="G22">
        <v>43.119921041753202</v>
      </c>
      <c r="H22">
        <v>51.6230614957271</v>
      </c>
      <c r="I22">
        <v>62.788585834031799</v>
      </c>
      <c r="K22" s="1">
        <v>21</v>
      </c>
      <c r="L22">
        <v>-0.25460566701355503</v>
      </c>
      <c r="M22">
        <v>0.105660634285334</v>
      </c>
      <c r="N22">
        <v>6.9739262178317996E-2</v>
      </c>
      <c r="O22">
        <v>0.132995515515162</v>
      </c>
      <c r="P22">
        <v>0.29254110323851001</v>
      </c>
      <c r="Q22">
        <v>0.38550326026498899</v>
      </c>
      <c r="R22">
        <v>0.48993885648863</v>
      </c>
    </row>
    <row r="23" spans="1:18" x14ac:dyDescent="0.2">
      <c r="A23" s="1">
        <v>22</v>
      </c>
      <c r="B23">
        <v>-11.5835696453201</v>
      </c>
      <c r="C23">
        <v>-7.6170167526080599</v>
      </c>
      <c r="D23">
        <v>-1.38316573765358</v>
      </c>
      <c r="E23">
        <v>2.95038115845882</v>
      </c>
      <c r="F23">
        <v>10.040577938988999</v>
      </c>
      <c r="G23">
        <v>26.508087853385899</v>
      </c>
      <c r="H23">
        <v>36.112967128828998</v>
      </c>
      <c r="I23">
        <v>55.394665858586798</v>
      </c>
      <c r="K23" s="1">
        <v>22</v>
      </c>
      <c r="L23">
        <v>0.39665528927120203</v>
      </c>
      <c r="M23">
        <v>0.51002019538332499</v>
      </c>
      <c r="N23">
        <v>0.48446502679262998</v>
      </c>
      <c r="O23">
        <v>0.54060368960772698</v>
      </c>
      <c r="P23">
        <v>0.76183314997411899</v>
      </c>
      <c r="Q23">
        <v>0.79494227956915098</v>
      </c>
      <c r="R23">
        <v>0.95683193577009795</v>
      </c>
    </row>
    <row r="24" spans="1:18" x14ac:dyDescent="0.2">
      <c r="A24" s="1">
        <v>23</v>
      </c>
      <c r="B24">
        <v>17.608537174578998</v>
      </c>
      <c r="C24">
        <v>11.282548031371</v>
      </c>
      <c r="D24">
        <v>13.618399231541201</v>
      </c>
      <c r="E24">
        <v>9.3726178914091101</v>
      </c>
      <c r="F24">
        <v>15.689110748005801</v>
      </c>
      <c r="G24">
        <v>20.728983339888199</v>
      </c>
      <c r="H24">
        <v>31.2009167569074</v>
      </c>
      <c r="I24">
        <v>43.208105586207502</v>
      </c>
      <c r="K24" s="1">
        <v>23</v>
      </c>
      <c r="L24">
        <v>-0.63259891432079995</v>
      </c>
      <c r="M24">
        <v>-0.19950689715188799</v>
      </c>
      <c r="N24">
        <v>-0.27453064277233002</v>
      </c>
      <c r="O24">
        <v>-4.7985660664330999E-2</v>
      </c>
      <c r="P24">
        <v>6.2408923306183001E-2</v>
      </c>
      <c r="Q24">
        <v>0.22653965970547299</v>
      </c>
      <c r="R24">
        <v>0.36570812016612197</v>
      </c>
    </row>
    <row r="25" spans="1:18" x14ac:dyDescent="0.2">
      <c r="A25" s="1">
        <v>24</v>
      </c>
      <c r="B25">
        <v>-17.171563643085801</v>
      </c>
      <c r="C25">
        <v>-16.712945523013101</v>
      </c>
      <c r="D25">
        <v>-5.3193330440266902</v>
      </c>
      <c r="E25">
        <v>-4.3008947963572703</v>
      </c>
      <c r="F25">
        <v>2.48223675175318</v>
      </c>
      <c r="G25">
        <v>14.6778064923895</v>
      </c>
      <c r="H25">
        <v>32.8076052273397</v>
      </c>
      <c r="I25">
        <v>46.464649071728701</v>
      </c>
      <c r="K25" s="1">
        <v>24</v>
      </c>
      <c r="L25">
        <v>4.5861812007268001E-2</v>
      </c>
      <c r="M25">
        <v>0.59261152995295396</v>
      </c>
      <c r="N25">
        <v>0.42902229489095001</v>
      </c>
      <c r="O25">
        <v>0.49134500987097401</v>
      </c>
      <c r="P25">
        <v>0.63698740270950505</v>
      </c>
      <c r="Q25">
        <v>0.83298614784042402</v>
      </c>
      <c r="R25">
        <v>0.90908875306877701</v>
      </c>
    </row>
    <row r="26" spans="1:18" x14ac:dyDescent="0.2">
      <c r="A26" s="1">
        <v>25</v>
      </c>
      <c r="B26">
        <v>-25.095869353326702</v>
      </c>
      <c r="C26">
        <v>-23.344213223489199</v>
      </c>
      <c r="D26">
        <v>-23.636803170688001</v>
      </c>
      <c r="E26">
        <v>-20.8147182395088</v>
      </c>
      <c r="F26">
        <v>-16.280311716106802</v>
      </c>
      <c r="G26">
        <v>16.375078219120201</v>
      </c>
      <c r="H26">
        <v>36.5548241985422</v>
      </c>
      <c r="I26">
        <v>55.3863045930079</v>
      </c>
      <c r="K26" s="1">
        <v>25</v>
      </c>
      <c r="L26">
        <v>0.17516561298375199</v>
      </c>
      <c r="M26">
        <v>7.2953309131935998E-2</v>
      </c>
      <c r="N26">
        <v>0.14270503712726501</v>
      </c>
      <c r="O26">
        <v>0.22038894093049999</v>
      </c>
      <c r="P26">
        <v>0.82941895144894096</v>
      </c>
      <c r="Q26">
        <v>1.0275115591978199</v>
      </c>
      <c r="R26">
        <v>1.14974534209049</v>
      </c>
    </row>
    <row r="27" spans="1:18" x14ac:dyDescent="0.2">
      <c r="A27" s="1">
        <v>26</v>
      </c>
      <c r="B27">
        <v>-28.4889014964095</v>
      </c>
      <c r="C27">
        <v>-29.854974117203302</v>
      </c>
      <c r="D27">
        <v>-28.551064339145899</v>
      </c>
      <c r="E27">
        <v>-30.776887766669098</v>
      </c>
      <c r="F27">
        <v>-29.569167943702599</v>
      </c>
      <c r="G27">
        <v>-6.4430805263514097</v>
      </c>
      <c r="H27">
        <v>13.612028544349901</v>
      </c>
      <c r="I27">
        <v>32.9417381789061</v>
      </c>
      <c r="K27" s="1">
        <v>26</v>
      </c>
      <c r="L27">
        <v>-0.13660726207938101</v>
      </c>
      <c r="M27">
        <v>-3.1081421368200001E-3</v>
      </c>
      <c r="N27">
        <v>-7.6266209008651997E-2</v>
      </c>
      <c r="O27">
        <v>-2.7006661182326998E-2</v>
      </c>
      <c r="P27">
        <v>0.440916419401163</v>
      </c>
      <c r="Q27">
        <v>0.70168216734599198</v>
      </c>
      <c r="R27">
        <v>0.877580566790225</v>
      </c>
    </row>
    <row r="28" spans="1:18" x14ac:dyDescent="0.2">
      <c r="A28" s="1">
        <v>27</v>
      </c>
      <c r="B28">
        <v>-4.3943658408943902</v>
      </c>
      <c r="C28">
        <v>-9.8389246198084592</v>
      </c>
      <c r="D28">
        <v>-10.2155996775037</v>
      </c>
      <c r="E28">
        <v>-2.52086252299297</v>
      </c>
      <c r="F28">
        <v>14.0155232245706</v>
      </c>
      <c r="G28">
        <v>30.971486277890399</v>
      </c>
      <c r="H28">
        <v>52.995277383422099</v>
      </c>
      <c r="I28">
        <v>71.938939444335304</v>
      </c>
      <c r="K28" s="1">
        <v>27</v>
      </c>
      <c r="L28">
        <v>-0.54445587789140704</v>
      </c>
      <c r="M28">
        <v>-0.29106169183046399</v>
      </c>
      <c r="N28">
        <v>6.2450110596714001E-2</v>
      </c>
      <c r="O28">
        <v>0.46024722663662399</v>
      </c>
      <c r="P28">
        <v>0.70731704237569604</v>
      </c>
      <c r="Q28">
        <v>0.95649405373860796</v>
      </c>
      <c r="R28">
        <v>1.0904757897889901</v>
      </c>
    </row>
    <row r="29" spans="1:18" x14ac:dyDescent="0.2">
      <c r="A29" s="1">
        <v>28</v>
      </c>
      <c r="B29">
        <v>17.295280339184099</v>
      </c>
      <c r="C29">
        <v>9.2674193607662403</v>
      </c>
      <c r="D29">
        <v>14.773072951641399</v>
      </c>
      <c r="E29">
        <v>18.577024413281599</v>
      </c>
      <c r="F29">
        <v>17.6490705844713</v>
      </c>
      <c r="G29">
        <v>30.050163374853099</v>
      </c>
      <c r="H29">
        <v>45.361052747851197</v>
      </c>
      <c r="I29">
        <v>58.699604231663201</v>
      </c>
      <c r="K29" s="1">
        <v>28</v>
      </c>
      <c r="L29">
        <v>-0.80278609784178201</v>
      </c>
      <c r="M29">
        <v>-0.12611036937713299</v>
      </c>
      <c r="N29">
        <v>4.2724802469918E-2</v>
      </c>
      <c r="O29">
        <v>8.8447561321809993E-3</v>
      </c>
      <c r="P29">
        <v>0.25509766071338003</v>
      </c>
      <c r="Q29">
        <v>0.467762873477785</v>
      </c>
      <c r="R29">
        <v>0.59149034132112999</v>
      </c>
    </row>
    <row r="30" spans="1:18" x14ac:dyDescent="0.2">
      <c r="A30" s="1">
        <v>29</v>
      </c>
      <c r="B30">
        <v>13.4765351760892</v>
      </c>
      <c r="C30">
        <v>11.301602637143599</v>
      </c>
      <c r="D30">
        <v>8.5167246827862293</v>
      </c>
      <c r="E30">
        <v>20.906166785316501</v>
      </c>
      <c r="F30">
        <v>29.3409869789967</v>
      </c>
      <c r="G30">
        <v>37.698678021972398</v>
      </c>
      <c r="H30">
        <v>55.843831662583</v>
      </c>
      <c r="I30">
        <v>68.985340021420896</v>
      </c>
      <c r="K30" s="1">
        <v>29</v>
      </c>
      <c r="L30">
        <v>-0.21749325389456201</v>
      </c>
      <c r="M30">
        <v>-0.24799052466514701</v>
      </c>
      <c r="N30">
        <v>0.247654386974244</v>
      </c>
      <c r="O30">
        <v>0.396611295072688</v>
      </c>
      <c r="P30">
        <v>0.48444285691766398</v>
      </c>
      <c r="Q30">
        <v>0.70612160810823099</v>
      </c>
      <c r="R30">
        <v>0.79298292636188195</v>
      </c>
    </row>
    <row r="31" spans="1:18" x14ac:dyDescent="0.2">
      <c r="A31" s="1">
        <v>30</v>
      </c>
      <c r="B31">
        <v>-10.0034100321369</v>
      </c>
      <c r="C31">
        <v>-5.1482323753113803</v>
      </c>
      <c r="D31">
        <v>-3.1381556867875702</v>
      </c>
      <c r="E31">
        <v>2.3931612829886402</v>
      </c>
      <c r="F31">
        <v>16.2352718189053</v>
      </c>
      <c r="G31">
        <v>31.347047637083602</v>
      </c>
      <c r="H31">
        <v>57.703206750821998</v>
      </c>
      <c r="I31">
        <v>68.2862480811539</v>
      </c>
      <c r="K31" s="1">
        <v>30</v>
      </c>
      <c r="L31">
        <v>0.48551776568255101</v>
      </c>
      <c r="M31" s="3">
        <v>0.34326271726746599</v>
      </c>
      <c r="N31">
        <v>0.41321904383751801</v>
      </c>
      <c r="O31">
        <v>0.65596704627605595</v>
      </c>
      <c r="P31">
        <v>0.82700915338441106</v>
      </c>
      <c r="Q31">
        <v>1.1284436130493101</v>
      </c>
      <c r="R31">
        <v>1.11842368733272</v>
      </c>
    </row>
    <row r="32" spans="1:18" x14ac:dyDescent="0.2">
      <c r="A32" s="1">
        <v>31</v>
      </c>
      <c r="B32">
        <v>-6.1476610829025802</v>
      </c>
      <c r="C32">
        <v>-6.76521377080826</v>
      </c>
      <c r="D32">
        <v>-7.4580193427831496</v>
      </c>
      <c r="E32">
        <v>-7.6806000595911703</v>
      </c>
      <c r="F32">
        <v>3.4870563060853401</v>
      </c>
      <c r="G32">
        <v>12.6721662828686</v>
      </c>
      <c r="H32">
        <v>62.903787323583501</v>
      </c>
      <c r="I32">
        <v>101.99785628322</v>
      </c>
      <c r="K32" s="1">
        <v>31</v>
      </c>
      <c r="L32">
        <v>-6.1755268790568002E-2</v>
      </c>
      <c r="M32">
        <v>-6.5517912994027996E-2</v>
      </c>
      <c r="N32">
        <v>-5.1097965889619998E-2</v>
      </c>
      <c r="O32">
        <v>0.240867934724698</v>
      </c>
      <c r="P32">
        <v>0.37639654731542299</v>
      </c>
      <c r="Q32">
        <v>1.1508574734414301</v>
      </c>
      <c r="R32">
        <v>1.54493596237318</v>
      </c>
    </row>
    <row r="33" spans="1:18" x14ac:dyDescent="0.2">
      <c r="A33" s="1">
        <v>32</v>
      </c>
      <c r="B33">
        <v>-32.364964997260998</v>
      </c>
      <c r="C33">
        <v>-32.974890478154599</v>
      </c>
      <c r="D33">
        <v>-36.202897500289303</v>
      </c>
      <c r="E33">
        <v>-31.205726467818099</v>
      </c>
      <c r="F33">
        <v>-17.713083028118</v>
      </c>
      <c r="G33">
        <v>-3.39984755007485</v>
      </c>
      <c r="H33">
        <v>28.789109385174601</v>
      </c>
      <c r="I33">
        <v>47.092919026241397</v>
      </c>
      <c r="K33" s="1">
        <v>32</v>
      </c>
      <c r="L33">
        <v>-6.0992548089364003E-2</v>
      </c>
      <c r="M33">
        <v>-0.19189662515141401</v>
      </c>
      <c r="N33">
        <v>3.8641284314763998E-2</v>
      </c>
      <c r="O33">
        <v>0.36629704922857498</v>
      </c>
      <c r="P33">
        <v>0.57930234894372201</v>
      </c>
      <c r="Q33">
        <v>1.0192345730405901</v>
      </c>
      <c r="R33">
        <v>1.13511262890717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3EC0-B1FB-2E4B-A865-0F2278DDB4A2}">
  <dimension ref="A1:Z33"/>
  <sheetViews>
    <sheetView workbookViewId="0">
      <selection activeCell="M30" sqref="M30"/>
    </sheetView>
  </sheetViews>
  <sheetFormatPr baseColWidth="10" defaultRowHeight="16" x14ac:dyDescent="0.2"/>
  <cols>
    <col min="11" max="11" width="13.1640625" customWidth="1"/>
    <col min="12" max="18" width="10.83203125" customWidth="1"/>
  </cols>
  <sheetData>
    <row r="1" spans="1:26" x14ac:dyDescent="0.2"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K1" s="2" t="s">
        <v>1</v>
      </c>
      <c r="L1" s="1">
        <v>10</v>
      </c>
      <c r="M1" s="1">
        <v>20</v>
      </c>
      <c r="N1" s="1">
        <v>30</v>
      </c>
      <c r="O1" s="1">
        <v>40</v>
      </c>
      <c r="P1" s="1">
        <v>50</v>
      </c>
      <c r="Q1" s="1">
        <v>60</v>
      </c>
      <c r="R1" s="1">
        <v>70</v>
      </c>
      <c r="T1" s="1"/>
      <c r="U1" s="1"/>
      <c r="V1" s="1"/>
      <c r="W1" s="1"/>
      <c r="X1" s="1"/>
      <c r="Y1" s="1"/>
      <c r="Z1" s="1"/>
    </row>
    <row r="2" spans="1:26" x14ac:dyDescent="0.2">
      <c r="A2" s="1">
        <v>1</v>
      </c>
      <c r="B2">
        <v>-2.2153</v>
      </c>
      <c r="C2">
        <v>3.7519</v>
      </c>
      <c r="D2">
        <v>-1.3275999999999999</v>
      </c>
      <c r="E2">
        <v>-0.3246</v>
      </c>
      <c r="F2">
        <v>7.9242999999999997</v>
      </c>
      <c r="G2">
        <v>5.0949</v>
      </c>
      <c r="H2">
        <v>17.774799999999999</v>
      </c>
      <c r="I2">
        <v>24.846299999999999</v>
      </c>
      <c r="K2" s="1">
        <v>1</v>
      </c>
      <c r="L2">
        <v>0.59671603306508203</v>
      </c>
      <c r="M2">
        <v>4.4386332235405099E-2</v>
      </c>
      <c r="N2">
        <v>6.3025257850219896E-2</v>
      </c>
      <c r="O2">
        <v>0.25349009302178399</v>
      </c>
      <c r="P2">
        <v>0.146204240758851</v>
      </c>
      <c r="Q2">
        <v>0.33316911629143903</v>
      </c>
      <c r="R2">
        <v>0.38659388085163598</v>
      </c>
    </row>
    <row r="3" spans="1:26" x14ac:dyDescent="0.2">
      <c r="A3" s="1">
        <v>2</v>
      </c>
      <c r="B3">
        <v>2.89704044471089</v>
      </c>
      <c r="C3">
        <v>4.6441081408518397</v>
      </c>
      <c r="D3">
        <v>8.5467757680622203</v>
      </c>
      <c r="E3">
        <v>18.5510306874707</v>
      </c>
      <c r="F3">
        <v>25.5886039825042</v>
      </c>
      <c r="G3">
        <v>45.664974018316002</v>
      </c>
      <c r="H3">
        <v>56.987295547680198</v>
      </c>
      <c r="I3">
        <v>70.830097132648902</v>
      </c>
      <c r="K3" s="1">
        <v>2</v>
      </c>
      <c r="L3">
        <v>0.17470676961409501</v>
      </c>
      <c r="M3">
        <v>0.28248676616756602</v>
      </c>
      <c r="N3">
        <v>0.52179967475866096</v>
      </c>
      <c r="O3">
        <v>0.56728908844483295</v>
      </c>
      <c r="P3">
        <v>0.85535867147210198</v>
      </c>
      <c r="Q3">
        <v>0.901504251716154</v>
      </c>
      <c r="R3">
        <v>0.97047223839911401</v>
      </c>
    </row>
    <row r="4" spans="1:26" x14ac:dyDescent="0.2">
      <c r="A4" s="1">
        <v>3</v>
      </c>
      <c r="B4">
        <v>-1.3141093703872699</v>
      </c>
      <c r="C4">
        <v>6.2117440780484801</v>
      </c>
      <c r="D4">
        <v>4.1845092619376896</v>
      </c>
      <c r="E4">
        <v>8.9511996197449903</v>
      </c>
      <c r="F4">
        <v>13.812802276889601</v>
      </c>
      <c r="G4">
        <v>11.8693511037786</v>
      </c>
      <c r="H4">
        <v>19.843657530572099</v>
      </c>
      <c r="I4">
        <v>25.856358997603699</v>
      </c>
      <c r="K4" s="1">
        <v>3</v>
      </c>
      <c r="L4">
        <v>0.75258534484357498</v>
      </c>
      <c r="M4">
        <v>0.27493093161624799</v>
      </c>
      <c r="N4">
        <v>0.34217696633774197</v>
      </c>
      <c r="O4">
        <v>0.37817279118192298</v>
      </c>
      <c r="P4">
        <v>0.26366920948331801</v>
      </c>
      <c r="Q4">
        <v>0.35262944834932303</v>
      </c>
      <c r="R4">
        <v>0.38814954811415597</v>
      </c>
    </row>
    <row r="5" spans="1:26" x14ac:dyDescent="0.2">
      <c r="A5" s="1">
        <v>4</v>
      </c>
      <c r="B5">
        <v>0.58986842959286701</v>
      </c>
      <c r="C5">
        <v>12.284898338544499</v>
      </c>
      <c r="D5">
        <v>20.177552671441401</v>
      </c>
      <c r="E5">
        <v>15.820203391948599</v>
      </c>
      <c r="F5">
        <v>24.926107814020099</v>
      </c>
      <c r="G5">
        <v>32.540370172586599</v>
      </c>
      <c r="H5">
        <v>52.333205647624098</v>
      </c>
      <c r="I5">
        <v>48.423981089203203</v>
      </c>
      <c r="K5" s="1">
        <v>4</v>
      </c>
      <c r="L5">
        <v>1.16950299089516</v>
      </c>
      <c r="M5">
        <v>0.97938421209242499</v>
      </c>
      <c r="N5">
        <v>0.50767783207852601</v>
      </c>
      <c r="O5">
        <v>0.60840598461067996</v>
      </c>
      <c r="P5">
        <v>0.63901003485987495</v>
      </c>
      <c r="Q5">
        <v>0.86238895363385304</v>
      </c>
      <c r="R5">
        <v>0.68334446656586201</v>
      </c>
    </row>
    <row r="6" spans="1:26" x14ac:dyDescent="0.2">
      <c r="A6" s="1">
        <v>5</v>
      </c>
      <c r="B6">
        <v>17.643908280762801</v>
      </c>
      <c r="C6">
        <v>14.752801622414299</v>
      </c>
      <c r="D6">
        <v>39.674257695269802</v>
      </c>
      <c r="E6">
        <v>42.8023347969662</v>
      </c>
      <c r="F6">
        <v>45.679016436485902</v>
      </c>
      <c r="G6">
        <v>59.739912820338901</v>
      </c>
      <c r="H6">
        <v>67.133256153781105</v>
      </c>
      <c r="I6">
        <v>74.579726596196593</v>
      </c>
      <c r="K6" s="1">
        <v>5</v>
      </c>
      <c r="L6">
        <v>-0.28911066583485301</v>
      </c>
      <c r="M6">
        <v>1.1015174707253499</v>
      </c>
      <c r="N6">
        <v>0.83861421720677798</v>
      </c>
      <c r="O6">
        <v>0.70087770389307602</v>
      </c>
      <c r="P6">
        <v>0.84192009079152297</v>
      </c>
      <c r="Q6">
        <v>0.82482246455030395</v>
      </c>
      <c r="R6">
        <v>0.81336883307762597</v>
      </c>
    </row>
    <row r="7" spans="1:26" x14ac:dyDescent="0.2">
      <c r="A7" s="1">
        <v>6</v>
      </c>
      <c r="B7">
        <v>-21.364893806896799</v>
      </c>
      <c r="C7">
        <v>-11.5532456349087</v>
      </c>
      <c r="D7">
        <v>6.2205452790899202E-2</v>
      </c>
      <c r="E7">
        <v>-5.0236845548247304</v>
      </c>
      <c r="F7">
        <v>1.71721739547061</v>
      </c>
      <c r="G7">
        <v>16.580434154808401</v>
      </c>
      <c r="H7">
        <v>29.552731872207499</v>
      </c>
      <c r="I7">
        <v>25.377380393742101</v>
      </c>
      <c r="K7" s="1">
        <v>6</v>
      </c>
      <c r="L7">
        <v>0.98116481719880899</v>
      </c>
      <c r="M7">
        <v>1.0713549629843899</v>
      </c>
      <c r="N7">
        <v>0.54470697506906895</v>
      </c>
      <c r="O7">
        <v>0.57705278005918503</v>
      </c>
      <c r="P7">
        <v>0.75890655923410499</v>
      </c>
      <c r="Q7">
        <v>0.84862709465173802</v>
      </c>
      <c r="R7">
        <v>0.66774677429484097</v>
      </c>
    </row>
    <row r="8" spans="1:26" x14ac:dyDescent="0.2">
      <c r="A8" s="1">
        <v>7</v>
      </c>
      <c r="B8">
        <v>29.9345345513808</v>
      </c>
      <c r="C8">
        <v>30.700677130978399</v>
      </c>
      <c r="D8">
        <v>28.837628332397799</v>
      </c>
      <c r="E8">
        <v>39.816771742792298</v>
      </c>
      <c r="F8">
        <v>47.218968308776702</v>
      </c>
      <c r="G8">
        <v>44.720576239927098</v>
      </c>
      <c r="H8">
        <v>53.1177198540368</v>
      </c>
      <c r="I8">
        <v>58.3411654463115</v>
      </c>
      <c r="K8" s="1">
        <v>7</v>
      </c>
      <c r="L8">
        <v>7.6614257959759902E-2</v>
      </c>
      <c r="M8">
        <v>-5.48453109491506E-2</v>
      </c>
      <c r="N8">
        <v>0.32940790638038298</v>
      </c>
      <c r="O8">
        <v>0.43211084393489801</v>
      </c>
      <c r="P8">
        <v>0.29572083377092501</v>
      </c>
      <c r="Q8">
        <v>0.38638642171093301</v>
      </c>
      <c r="R8">
        <v>0.40580901278472498</v>
      </c>
    </row>
    <row r="9" spans="1:26" x14ac:dyDescent="0.2">
      <c r="A9" s="1">
        <v>8</v>
      </c>
      <c r="B9">
        <v>11.8110159004781</v>
      </c>
      <c r="C9">
        <v>16.0212858027006</v>
      </c>
      <c r="D9">
        <v>19.3996584090449</v>
      </c>
      <c r="E9">
        <v>36.973243871511599</v>
      </c>
      <c r="F9">
        <v>34.875088939793798</v>
      </c>
      <c r="G9">
        <v>46.2378689933144</v>
      </c>
      <c r="H9">
        <v>54.800299842146899</v>
      </c>
      <c r="I9">
        <v>55.169887907200597</v>
      </c>
      <c r="K9" s="1">
        <v>8</v>
      </c>
      <c r="L9">
        <v>0.42102699022225198</v>
      </c>
      <c r="M9">
        <v>0.37943212542833998</v>
      </c>
      <c r="N9">
        <v>0.83874093236778502</v>
      </c>
      <c r="O9">
        <v>0.576601825982892</v>
      </c>
      <c r="P9">
        <v>0.68853706185672703</v>
      </c>
      <c r="Q9">
        <v>0.71648806569447998</v>
      </c>
      <c r="R9">
        <v>0.61941245723889304</v>
      </c>
    </row>
    <row r="10" spans="1:26" x14ac:dyDescent="0.2">
      <c r="A10" s="1">
        <v>9</v>
      </c>
      <c r="B10">
        <v>0.34861199294137601</v>
      </c>
      <c r="C10">
        <v>-7.3870670615972198</v>
      </c>
      <c r="D10">
        <v>17.240424647935399</v>
      </c>
      <c r="E10">
        <v>27.6126512111992</v>
      </c>
      <c r="F10">
        <v>39.2849699532835</v>
      </c>
      <c r="G10">
        <v>46.126634483300002</v>
      </c>
      <c r="H10">
        <v>64.631906101503404</v>
      </c>
      <c r="I10">
        <v>72.437396339981504</v>
      </c>
      <c r="K10" s="1">
        <v>9</v>
      </c>
      <c r="L10">
        <v>-0.77356790545386001</v>
      </c>
      <c r="M10">
        <v>0.84459063274970203</v>
      </c>
      <c r="N10">
        <v>0.90880130727525998</v>
      </c>
      <c r="O10">
        <v>0.97340894900855202</v>
      </c>
      <c r="P10">
        <v>0.91556044980717199</v>
      </c>
      <c r="Q10">
        <v>1.0713882351427</v>
      </c>
      <c r="R10">
        <v>1.0298397763862901</v>
      </c>
    </row>
    <row r="11" spans="1:26" x14ac:dyDescent="0.2">
      <c r="A11" s="1">
        <v>10</v>
      </c>
      <c r="B11">
        <v>25.708961370324602</v>
      </c>
      <c r="C11">
        <v>29.613865724109001</v>
      </c>
      <c r="D11">
        <v>26.6404512502647</v>
      </c>
      <c r="E11">
        <v>28.251348604472401</v>
      </c>
      <c r="F11">
        <v>35.931167783110197</v>
      </c>
      <c r="G11">
        <v>46.936915078584299</v>
      </c>
      <c r="H11">
        <v>43.546927586257702</v>
      </c>
      <c r="I11">
        <v>52.967554878436097</v>
      </c>
      <c r="K11" s="1">
        <v>10</v>
      </c>
      <c r="L11">
        <v>0.39049043537843198</v>
      </c>
      <c r="M11">
        <v>4.6574493997000997E-2</v>
      </c>
      <c r="N11">
        <v>8.47462411382576E-2</v>
      </c>
      <c r="O11">
        <v>0.25555516031963899</v>
      </c>
      <c r="P11">
        <v>0.42455907416519401</v>
      </c>
      <c r="Q11">
        <v>0.297299436932218</v>
      </c>
      <c r="R11">
        <v>0.38940847868730699</v>
      </c>
    </row>
    <row r="12" spans="1:26" x14ac:dyDescent="0.2">
      <c r="A12" s="1">
        <v>11</v>
      </c>
      <c r="B12">
        <v>0.39874446613553</v>
      </c>
      <c r="C12">
        <v>6.7126384543195297</v>
      </c>
      <c r="D12">
        <v>21.030873873283799</v>
      </c>
      <c r="E12">
        <v>29.519112886640801</v>
      </c>
      <c r="F12">
        <v>43.077715132903599</v>
      </c>
      <c r="G12">
        <v>57.215010607314802</v>
      </c>
      <c r="H12">
        <v>60.2533346385557</v>
      </c>
      <c r="I12">
        <v>68.105306434488</v>
      </c>
      <c r="K12" s="1">
        <v>11</v>
      </c>
      <c r="L12">
        <v>0.63138939881839995</v>
      </c>
      <c r="M12">
        <v>1.0316064703574199</v>
      </c>
      <c r="N12">
        <v>0.97067894735017601</v>
      </c>
      <c r="O12">
        <v>1.0669742666691999</v>
      </c>
      <c r="P12">
        <v>1.1363253228235799</v>
      </c>
      <c r="Q12">
        <v>0.99757650287366995</v>
      </c>
      <c r="R12">
        <v>0.96723659954789198</v>
      </c>
    </row>
    <row r="13" spans="1:26" x14ac:dyDescent="0.2">
      <c r="A13" s="1">
        <v>12</v>
      </c>
      <c r="B13">
        <v>-24.8484209433567</v>
      </c>
      <c r="C13">
        <v>-24.209127331743499</v>
      </c>
      <c r="D13">
        <v>-16.489564764239699</v>
      </c>
      <c r="E13">
        <v>-26.9184361612392</v>
      </c>
      <c r="F13">
        <v>-4.39152832050722</v>
      </c>
      <c r="G13">
        <v>13.989801407097699</v>
      </c>
      <c r="H13">
        <v>13.7467247415844</v>
      </c>
      <c r="I13">
        <v>22.2011564282212</v>
      </c>
      <c r="K13" s="1">
        <v>12</v>
      </c>
      <c r="L13">
        <v>6.3929361161316894E-2</v>
      </c>
      <c r="M13">
        <v>0.41794280895584801</v>
      </c>
      <c r="N13">
        <v>-6.9000507262750602E-2</v>
      </c>
      <c r="O13">
        <v>0.51142231557123596</v>
      </c>
      <c r="P13">
        <v>0.77676444700908698</v>
      </c>
      <c r="Q13">
        <v>0.64325242808235195</v>
      </c>
      <c r="R13">
        <v>0.67213681959396998</v>
      </c>
    </row>
    <row r="14" spans="1:26" x14ac:dyDescent="0.2">
      <c r="A14" s="1">
        <v>13</v>
      </c>
      <c r="B14">
        <v>13.1856664932832</v>
      </c>
      <c r="C14">
        <v>17.757379974396098</v>
      </c>
      <c r="D14">
        <v>21.5875026975759</v>
      </c>
      <c r="E14">
        <v>29.694619496961</v>
      </c>
      <c r="F14">
        <v>32.637428678288401</v>
      </c>
      <c r="G14">
        <v>43.283546855111702</v>
      </c>
      <c r="H14">
        <v>41.283084268626503</v>
      </c>
      <c r="I14">
        <v>45.075565272385901</v>
      </c>
      <c r="K14" s="1">
        <v>13</v>
      </c>
      <c r="L14">
        <v>0.45717134811128601</v>
      </c>
      <c r="M14">
        <v>0.42009181021463399</v>
      </c>
      <c r="N14">
        <v>0.55029843345592599</v>
      </c>
      <c r="O14">
        <v>0.48629405462512898</v>
      </c>
      <c r="P14">
        <v>0.60195760723656999</v>
      </c>
      <c r="Q14">
        <v>0.46829029625572099</v>
      </c>
      <c r="R14">
        <v>0.45556998255860898</v>
      </c>
    </row>
    <row r="15" spans="1:26" x14ac:dyDescent="0.2">
      <c r="A15" s="1">
        <v>14</v>
      </c>
      <c r="B15">
        <v>-15.603217007976999</v>
      </c>
      <c r="C15">
        <v>-10.0480917347918</v>
      </c>
      <c r="D15">
        <v>5.2545600604461704</v>
      </c>
      <c r="E15">
        <v>16.063565304040502</v>
      </c>
      <c r="F15">
        <v>21.957943387102699</v>
      </c>
      <c r="G15">
        <v>37.517970295062398</v>
      </c>
      <c r="H15">
        <v>48.833281502005399</v>
      </c>
      <c r="I15">
        <v>63.4663549447138</v>
      </c>
      <c r="K15" s="1">
        <v>14</v>
      </c>
      <c r="L15">
        <v>0.55551252731851797</v>
      </c>
      <c r="M15">
        <v>1.04288885342116</v>
      </c>
      <c r="N15">
        <v>1.0555594104005801</v>
      </c>
      <c r="O15">
        <v>0.93902900987699101</v>
      </c>
      <c r="P15">
        <v>1.0624237460607899</v>
      </c>
      <c r="Q15">
        <v>1.0739416418330401</v>
      </c>
      <c r="R15">
        <v>1.12956531360987</v>
      </c>
    </row>
    <row r="16" spans="1:26" x14ac:dyDescent="0.2">
      <c r="A16" s="1">
        <v>15</v>
      </c>
      <c r="B16">
        <v>-4.60085331619785</v>
      </c>
      <c r="C16">
        <v>-0.20340396771858699</v>
      </c>
      <c r="D16">
        <v>7.7036742207533804</v>
      </c>
      <c r="E16">
        <v>8.8743147283619894</v>
      </c>
      <c r="F16">
        <v>21.3043373643319</v>
      </c>
      <c r="G16">
        <v>34.253410005791203</v>
      </c>
      <c r="H16">
        <v>61.502029151973097</v>
      </c>
      <c r="I16">
        <v>79.207849685175006</v>
      </c>
      <c r="K16" s="1">
        <v>15</v>
      </c>
      <c r="L16">
        <v>0.43974493484792698</v>
      </c>
      <c r="M16">
        <v>0.61522637684756198</v>
      </c>
      <c r="N16">
        <v>0.44917226815199501</v>
      </c>
      <c r="O16">
        <v>0.64762976701324504</v>
      </c>
      <c r="P16">
        <v>0.77708526643978104</v>
      </c>
      <c r="Q16">
        <v>1.10171470780285</v>
      </c>
      <c r="R16">
        <v>1.1972671857338999</v>
      </c>
    </row>
    <row r="17" spans="1:18" x14ac:dyDescent="0.2">
      <c r="A17" s="1">
        <v>16</v>
      </c>
      <c r="B17">
        <v>23.726784276815302</v>
      </c>
      <c r="C17">
        <v>27.9956042535953</v>
      </c>
      <c r="D17">
        <v>27.230195415817899</v>
      </c>
      <c r="E17">
        <v>28.512221514710301</v>
      </c>
      <c r="F17">
        <v>34.163488917690202</v>
      </c>
      <c r="G17">
        <v>48.911889060535401</v>
      </c>
      <c r="H17">
        <v>49.590429281491701</v>
      </c>
      <c r="I17">
        <v>66.344453184807605</v>
      </c>
      <c r="K17" s="1">
        <v>16</v>
      </c>
      <c r="L17">
        <v>0.426881997678005</v>
      </c>
      <c r="M17">
        <v>0.17517055695013201</v>
      </c>
      <c r="N17">
        <v>0.15951457459650301</v>
      </c>
      <c r="O17">
        <v>0.26091761602187302</v>
      </c>
      <c r="P17">
        <v>0.50370209567440205</v>
      </c>
      <c r="Q17">
        <v>0.43106075007794098</v>
      </c>
      <c r="R17">
        <v>0.60882384154274705</v>
      </c>
    </row>
    <row r="18" spans="1:18" x14ac:dyDescent="0.2">
      <c r="A18" s="1">
        <v>17</v>
      </c>
      <c r="B18">
        <v>5.1314301224624401</v>
      </c>
      <c r="C18">
        <v>15.2369175936979</v>
      </c>
      <c r="D18">
        <v>17.352381739305098</v>
      </c>
      <c r="E18">
        <v>33.563694613662399</v>
      </c>
      <c r="F18">
        <v>22.3590991521665</v>
      </c>
      <c r="G18">
        <v>38.543748707534697</v>
      </c>
      <c r="H18">
        <v>42.763719061381998</v>
      </c>
      <c r="I18">
        <v>51.705276520492397</v>
      </c>
      <c r="K18" s="1">
        <v>17</v>
      </c>
      <c r="L18">
        <v>1.0105487471235499</v>
      </c>
      <c r="M18">
        <v>0.61104758084213495</v>
      </c>
      <c r="N18">
        <v>0.94774214970666504</v>
      </c>
      <c r="O18">
        <v>0.43069172574260101</v>
      </c>
      <c r="P18">
        <v>0.66824637170144596</v>
      </c>
      <c r="Q18">
        <v>0.62720481564865904</v>
      </c>
      <c r="R18">
        <v>0.66534066282899995</v>
      </c>
    </row>
    <row r="19" spans="1:18" x14ac:dyDescent="0.2">
      <c r="A19" s="1">
        <v>18</v>
      </c>
      <c r="B19">
        <v>25.402447931668899</v>
      </c>
      <c r="C19">
        <v>25.214488277348899</v>
      </c>
      <c r="D19">
        <v>25.694149300542801</v>
      </c>
      <c r="E19">
        <v>37.372524315152397</v>
      </c>
      <c r="F19">
        <v>34.978166313415002</v>
      </c>
      <c r="G19">
        <v>53.322774419396197</v>
      </c>
      <c r="H19">
        <v>52.020168960093898</v>
      </c>
      <c r="I19">
        <v>65.328086017733796</v>
      </c>
      <c r="K19" s="1">
        <v>18</v>
      </c>
      <c r="L19">
        <v>-1.8795965431997901E-2</v>
      </c>
      <c r="M19">
        <v>1.45850684436981E-2</v>
      </c>
      <c r="N19">
        <v>0.39900254611611802</v>
      </c>
      <c r="O19">
        <v>0.239392959543654</v>
      </c>
      <c r="P19">
        <v>0.55840652975454597</v>
      </c>
      <c r="Q19">
        <v>0.44362868380708298</v>
      </c>
      <c r="R19">
        <v>0.57036625837235599</v>
      </c>
    </row>
    <row r="20" spans="1:18" x14ac:dyDescent="0.2">
      <c r="A20" s="1">
        <v>19</v>
      </c>
      <c r="B20">
        <v>5.2574049316318803</v>
      </c>
      <c r="C20">
        <v>9.2632241942625306</v>
      </c>
      <c r="D20">
        <v>17.8758044355679</v>
      </c>
      <c r="E20">
        <v>37.940273006521899</v>
      </c>
      <c r="F20">
        <v>37.349260887989097</v>
      </c>
      <c r="G20">
        <v>46.6158489653711</v>
      </c>
      <c r="H20">
        <v>52.6592618506237</v>
      </c>
      <c r="I20">
        <v>61.790361961964898</v>
      </c>
      <c r="K20" s="1">
        <v>19</v>
      </c>
      <c r="L20">
        <v>0.40058192626306499</v>
      </c>
      <c r="M20">
        <v>0.63091997519679899</v>
      </c>
      <c r="N20">
        <v>1.08942893582967</v>
      </c>
      <c r="O20">
        <v>0.80229639890893101</v>
      </c>
      <c r="P20">
        <v>0.827168880674783</v>
      </c>
      <c r="Q20">
        <v>0.79003094864986401</v>
      </c>
      <c r="R20">
        <v>0.80761367186190103</v>
      </c>
    </row>
    <row r="21" spans="1:18" x14ac:dyDescent="0.2">
      <c r="A21" s="1">
        <v>20</v>
      </c>
      <c r="B21">
        <v>2.64245530894364</v>
      </c>
      <c r="C21">
        <v>-3.8585373122056899</v>
      </c>
      <c r="D21">
        <v>9.4184448971391799</v>
      </c>
      <c r="E21">
        <v>3.5345169209103702</v>
      </c>
      <c r="F21">
        <v>22.453168545291099</v>
      </c>
      <c r="G21">
        <v>34.478065415397602</v>
      </c>
      <c r="H21">
        <v>42.592239106005898</v>
      </c>
      <c r="I21">
        <v>51.504095833154999</v>
      </c>
      <c r="K21" s="1">
        <v>20</v>
      </c>
      <c r="L21">
        <v>-0.65009926211493296</v>
      </c>
      <c r="M21">
        <v>0.338799479409777</v>
      </c>
      <c r="N21">
        <v>2.97353870655577E-2</v>
      </c>
      <c r="O21">
        <v>0.49526783090868498</v>
      </c>
      <c r="P21">
        <v>0.63671220212907897</v>
      </c>
      <c r="Q21">
        <v>0.66582972995103795</v>
      </c>
      <c r="R21">
        <v>0.69802343606016304</v>
      </c>
    </row>
    <row r="22" spans="1:18" x14ac:dyDescent="0.2">
      <c r="A22" s="1">
        <v>21</v>
      </c>
      <c r="B22">
        <v>8.9630107608454708</v>
      </c>
      <c r="C22">
        <v>16.432449034527199</v>
      </c>
      <c r="D22">
        <v>18.918460167197999</v>
      </c>
      <c r="E22">
        <v>18.050191624927301</v>
      </c>
      <c r="F22">
        <v>23.763266457357499</v>
      </c>
      <c r="G22">
        <v>28.552521184239701</v>
      </c>
      <c r="H22">
        <v>36.8569826617343</v>
      </c>
      <c r="I22">
        <v>44.360975442825001</v>
      </c>
      <c r="K22" s="1">
        <v>21</v>
      </c>
      <c r="L22">
        <v>0.74694382736817699</v>
      </c>
      <c r="M22">
        <v>0.497772470317628</v>
      </c>
      <c r="N22">
        <v>0.30290602880272599</v>
      </c>
      <c r="O22">
        <v>0.37000639241279998</v>
      </c>
      <c r="P22">
        <v>0.39179020846788598</v>
      </c>
      <c r="Q22">
        <v>0.46489953168148102</v>
      </c>
      <c r="R22">
        <v>0.50568520974256503</v>
      </c>
    </row>
    <row r="23" spans="1:18" x14ac:dyDescent="0.2">
      <c r="A23" s="1">
        <v>22</v>
      </c>
      <c r="B23">
        <v>-7.9114760302040601</v>
      </c>
      <c r="C23">
        <v>1.32148110837329</v>
      </c>
      <c r="D23">
        <v>14.223678036789099</v>
      </c>
      <c r="E23">
        <v>18.589806104820202</v>
      </c>
      <c r="F23">
        <v>25.477315229874002</v>
      </c>
      <c r="G23">
        <v>29.9893319030658</v>
      </c>
      <c r="H23">
        <v>40.957361961776698</v>
      </c>
      <c r="I23">
        <v>51.997596442440503</v>
      </c>
      <c r="K23" s="1">
        <v>22</v>
      </c>
      <c r="L23">
        <v>0.92329571385773501</v>
      </c>
      <c r="M23">
        <v>1.1067577033496601</v>
      </c>
      <c r="N23">
        <v>0.88337607116747496</v>
      </c>
      <c r="O23">
        <v>0.83471978150195303</v>
      </c>
      <c r="P23">
        <v>0.75801615866539696</v>
      </c>
      <c r="Q23">
        <v>0.81448063319968</v>
      </c>
      <c r="R23">
        <v>0.85584389246635095</v>
      </c>
    </row>
    <row r="24" spans="1:18" x14ac:dyDescent="0.2">
      <c r="A24" s="1">
        <v>23</v>
      </c>
      <c r="B24">
        <v>20.9965265085238</v>
      </c>
      <c r="C24">
        <v>25.2744943776129</v>
      </c>
      <c r="D24">
        <v>27.5030291352817</v>
      </c>
      <c r="E24">
        <v>29.6766030837132</v>
      </c>
      <c r="F24">
        <v>37.7513880310551</v>
      </c>
      <c r="G24">
        <v>46.061176658750298</v>
      </c>
      <c r="H24">
        <v>53.096412354922698</v>
      </c>
      <c r="I24">
        <v>59.755847215090299</v>
      </c>
      <c r="K24" s="1">
        <v>23</v>
      </c>
      <c r="L24">
        <v>0.42779678690891199</v>
      </c>
      <c r="M24">
        <v>0.32532513133789298</v>
      </c>
      <c r="N24">
        <v>0.28933588583964498</v>
      </c>
      <c r="O24">
        <v>0.41887153806328098</v>
      </c>
      <c r="P24">
        <v>0.50129300300452895</v>
      </c>
      <c r="Q24">
        <v>0.53499809743998095</v>
      </c>
      <c r="R24">
        <v>0.553704581522378</v>
      </c>
    </row>
    <row r="25" spans="1:18" x14ac:dyDescent="0.2">
      <c r="A25" s="1">
        <v>24</v>
      </c>
      <c r="B25">
        <v>18.619209489245701</v>
      </c>
      <c r="C25">
        <v>21.206129978404402</v>
      </c>
      <c r="D25">
        <v>26.109481380547699</v>
      </c>
      <c r="E25">
        <v>36.406860083688002</v>
      </c>
      <c r="F25">
        <v>37.745710702351303</v>
      </c>
      <c r="G25">
        <v>46.391816048007101</v>
      </c>
      <c r="H25">
        <v>55.912744762397402</v>
      </c>
      <c r="I25">
        <v>66.801405871380695</v>
      </c>
      <c r="K25" s="1">
        <v>24</v>
      </c>
      <c r="L25">
        <v>0.258692048915874</v>
      </c>
      <c r="M25">
        <v>0.37451359456510203</v>
      </c>
      <c r="N25">
        <v>0.59292168648140897</v>
      </c>
      <c r="O25">
        <v>0.478162530327641</v>
      </c>
      <c r="P25">
        <v>0.55545213117522896</v>
      </c>
      <c r="Q25">
        <v>0.62155892121919598</v>
      </c>
      <c r="R25">
        <v>0.68831709117335704</v>
      </c>
    </row>
    <row r="26" spans="1:18" x14ac:dyDescent="0.2">
      <c r="A26" s="1">
        <v>25</v>
      </c>
      <c r="B26">
        <v>-22.020615795878602</v>
      </c>
      <c r="C26">
        <v>-19.8187278267804</v>
      </c>
      <c r="D26">
        <v>-6.0479947624083703</v>
      </c>
      <c r="E26">
        <v>5.3453744695299301</v>
      </c>
      <c r="F26">
        <v>29.636436614922399</v>
      </c>
      <c r="G26">
        <v>36.719126710045799</v>
      </c>
      <c r="H26">
        <v>45.098381230094802</v>
      </c>
      <c r="I26">
        <v>56.745244525734002</v>
      </c>
      <c r="K26" s="1">
        <v>25</v>
      </c>
      <c r="L26">
        <v>0.22018879690981799</v>
      </c>
      <c r="M26">
        <v>0.798631051673513</v>
      </c>
      <c r="N26">
        <v>0.91219967551361902</v>
      </c>
      <c r="O26">
        <v>1.2914263102700301</v>
      </c>
      <c r="P26">
        <v>1.1747948501184899</v>
      </c>
      <c r="Q26">
        <v>1.11864995043289</v>
      </c>
      <c r="R26">
        <v>1.12522657602304</v>
      </c>
    </row>
    <row r="27" spans="1:18" x14ac:dyDescent="0.2">
      <c r="A27" s="1">
        <v>26</v>
      </c>
      <c r="B27">
        <v>-15.6482367850694</v>
      </c>
      <c r="C27">
        <v>-18.092648009627499</v>
      </c>
      <c r="D27">
        <v>-24.002877012003601</v>
      </c>
      <c r="E27">
        <v>-15.300982284266</v>
      </c>
      <c r="F27">
        <v>-12.194835398090699</v>
      </c>
      <c r="G27">
        <v>4.2467713965863103</v>
      </c>
      <c r="H27">
        <v>36.319050412901902</v>
      </c>
      <c r="I27">
        <v>55.897959662950399</v>
      </c>
      <c r="K27" s="1">
        <v>26</v>
      </c>
      <c r="L27">
        <v>-0.24444112245581101</v>
      </c>
      <c r="M27">
        <v>-0.41773201134671001</v>
      </c>
      <c r="N27">
        <v>1.15751500267795E-2</v>
      </c>
      <c r="O27">
        <v>8.6335034674465794E-2</v>
      </c>
      <c r="P27">
        <v>0.39790016363311398</v>
      </c>
      <c r="Q27">
        <v>0.86612145329952095</v>
      </c>
      <c r="R27">
        <v>1.022088520686</v>
      </c>
    </row>
    <row r="28" spans="1:18" x14ac:dyDescent="0.2">
      <c r="A28" s="1">
        <v>27</v>
      </c>
      <c r="B28">
        <v>3.8786238456572</v>
      </c>
      <c r="C28">
        <v>12.016857422598299</v>
      </c>
      <c r="D28">
        <v>10.5502388768573</v>
      </c>
      <c r="E28">
        <v>30.7118460292441</v>
      </c>
      <c r="F28">
        <v>29.9009527169517</v>
      </c>
      <c r="G28">
        <v>46.360570903862801</v>
      </c>
      <c r="H28">
        <v>49.480930084206399</v>
      </c>
      <c r="I28">
        <v>60.568210750617602</v>
      </c>
      <c r="K28" s="1">
        <v>27</v>
      </c>
      <c r="L28">
        <v>0.81382335769411296</v>
      </c>
      <c r="M28">
        <v>0.333580751560003</v>
      </c>
      <c r="N28">
        <v>0.89444073945289704</v>
      </c>
      <c r="O28">
        <v>0.650558221782364</v>
      </c>
      <c r="P28">
        <v>0.84963894116411198</v>
      </c>
      <c r="Q28">
        <v>0.76003843730915399</v>
      </c>
      <c r="R28">
        <v>0.80985124149943399</v>
      </c>
    </row>
    <row r="29" spans="1:18" x14ac:dyDescent="0.2">
      <c r="A29" s="1">
        <v>28</v>
      </c>
      <c r="B29">
        <v>2.5004091944005098</v>
      </c>
      <c r="C29">
        <v>6.97427049050658</v>
      </c>
      <c r="D29">
        <v>8.7513488121960101</v>
      </c>
      <c r="E29">
        <v>21.173997589128799</v>
      </c>
      <c r="F29">
        <v>27.885722579631398</v>
      </c>
      <c r="G29">
        <v>38.084076074414298</v>
      </c>
      <c r="H29">
        <v>47.225924626416102</v>
      </c>
      <c r="I29">
        <v>66.869619616535601</v>
      </c>
      <c r="K29" s="1">
        <v>28</v>
      </c>
      <c r="L29">
        <v>0.44738612961060797</v>
      </c>
      <c r="M29">
        <v>0.31254698088977501</v>
      </c>
      <c r="N29">
        <v>0.62245294649094496</v>
      </c>
      <c r="O29">
        <v>0.63463283463077202</v>
      </c>
      <c r="P29">
        <v>0.71167333760027596</v>
      </c>
      <c r="Q29">
        <v>0.74542525720025998</v>
      </c>
      <c r="R29">
        <v>0.91956014888764404</v>
      </c>
    </row>
    <row r="30" spans="1:18" x14ac:dyDescent="0.2">
      <c r="A30" s="1">
        <v>29</v>
      </c>
      <c r="B30">
        <v>19.2744540486608</v>
      </c>
      <c r="C30">
        <v>23.461573728693899</v>
      </c>
      <c r="D30">
        <v>38.6965354585965</v>
      </c>
      <c r="E30">
        <v>48.560731750829099</v>
      </c>
      <c r="F30">
        <v>65.834649958289305</v>
      </c>
      <c r="G30">
        <v>56.383325051557499</v>
      </c>
      <c r="H30">
        <v>73.622716898911406</v>
      </c>
      <c r="I30">
        <v>80.124867048700494</v>
      </c>
      <c r="K30" s="1">
        <v>29</v>
      </c>
      <c r="L30">
        <v>0.418711968003315</v>
      </c>
      <c r="M30">
        <v>0.97110407049678704</v>
      </c>
      <c r="N30">
        <v>0.97620925673894299</v>
      </c>
      <c r="O30">
        <v>1.16400489774071</v>
      </c>
      <c r="P30">
        <v>0.74217742005793397</v>
      </c>
      <c r="Q30">
        <v>0.90580438083751003</v>
      </c>
      <c r="R30">
        <v>0.86929161428628199</v>
      </c>
    </row>
    <row r="31" spans="1:18" x14ac:dyDescent="0.2">
      <c r="A31" s="1">
        <v>30</v>
      </c>
      <c r="B31">
        <v>10.1203300463091</v>
      </c>
      <c r="C31">
        <v>6.6727500915870701</v>
      </c>
      <c r="D31">
        <v>14.016431288720799</v>
      </c>
      <c r="E31">
        <v>10.121713411799901</v>
      </c>
      <c r="F31">
        <v>26.493362149776399</v>
      </c>
      <c r="G31">
        <v>35.215621460570397</v>
      </c>
      <c r="H31">
        <v>50.9720455974917</v>
      </c>
      <c r="I31">
        <v>57.693461018656002</v>
      </c>
      <c r="K31" s="1">
        <v>30</v>
      </c>
      <c r="L31">
        <v>-0.34475799547219799</v>
      </c>
      <c r="M31" s="3">
        <v>0.19480506212058801</v>
      </c>
      <c r="N31" s="3">
        <v>4.6112183028768101E-5</v>
      </c>
      <c r="O31">
        <v>0.409325802586683</v>
      </c>
      <c r="P31">
        <v>0.50190582828522801</v>
      </c>
      <c r="Q31">
        <v>0.68086192585304295</v>
      </c>
      <c r="R31">
        <v>0.67961615674781395</v>
      </c>
    </row>
    <row r="32" spans="1:18" x14ac:dyDescent="0.2">
      <c r="A32" s="1">
        <v>31</v>
      </c>
      <c r="B32">
        <v>2.3710530609165201</v>
      </c>
      <c r="C32">
        <v>9.0068169981698407</v>
      </c>
      <c r="D32">
        <v>27.0988032282992</v>
      </c>
      <c r="E32">
        <v>30.580176666611099</v>
      </c>
      <c r="F32">
        <v>47.595406371014398</v>
      </c>
      <c r="G32">
        <v>49.5103237898267</v>
      </c>
      <c r="H32">
        <v>76.012833466499899</v>
      </c>
      <c r="I32">
        <v>76.985610450726398</v>
      </c>
      <c r="K32" s="1">
        <v>31</v>
      </c>
      <c r="L32">
        <v>0.66357639372533195</v>
      </c>
      <c r="M32">
        <v>1.23638750836913</v>
      </c>
      <c r="N32">
        <v>0.94030412018981802</v>
      </c>
      <c r="O32">
        <v>1.1306088327524499</v>
      </c>
      <c r="P32">
        <v>0.94278541457820397</v>
      </c>
      <c r="Q32">
        <v>1.2273630067597201</v>
      </c>
      <c r="R32">
        <v>1.0659222484258599</v>
      </c>
    </row>
    <row r="33" spans="1:18" x14ac:dyDescent="0.2">
      <c r="A33" s="1">
        <v>32</v>
      </c>
      <c r="B33">
        <v>16.263768922250001</v>
      </c>
      <c r="C33">
        <v>24.435089613473099</v>
      </c>
      <c r="D33">
        <v>24.166512651264</v>
      </c>
      <c r="E33">
        <v>31.464254085237801</v>
      </c>
      <c r="F33">
        <v>35.671356831657199</v>
      </c>
      <c r="G33">
        <v>48.821094652030801</v>
      </c>
      <c r="H33">
        <v>44.956370858544197</v>
      </c>
      <c r="I33">
        <v>59.4018224999257</v>
      </c>
      <c r="K33" s="1">
        <v>32</v>
      </c>
      <c r="L33">
        <v>0.81713206912231096</v>
      </c>
      <c r="M33">
        <v>0.39513718645070001</v>
      </c>
      <c r="N33">
        <v>0.50668283876625997</v>
      </c>
      <c r="O33">
        <v>0.485189697735182</v>
      </c>
      <c r="P33">
        <v>0.65114651459561601</v>
      </c>
      <c r="Q33">
        <v>0.478210032271571</v>
      </c>
      <c r="R33">
        <v>0.61625790825251103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D674-6523-5E4E-8DC0-35407AC0DE27}">
  <dimension ref="A1:Z33"/>
  <sheetViews>
    <sheetView workbookViewId="0">
      <selection activeCell="E39" sqref="E39"/>
    </sheetView>
  </sheetViews>
  <sheetFormatPr baseColWidth="10" defaultRowHeight="16" x14ac:dyDescent="0.2"/>
  <sheetData>
    <row r="1" spans="1:26" x14ac:dyDescent="0.2"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L1" s="2" t="s">
        <v>1</v>
      </c>
      <c r="M1" s="1">
        <v>10</v>
      </c>
      <c r="N1" s="1">
        <v>20</v>
      </c>
      <c r="O1" s="1">
        <v>30</v>
      </c>
      <c r="P1" s="1">
        <v>40</v>
      </c>
      <c r="Q1" s="1">
        <v>50</v>
      </c>
      <c r="R1" s="1">
        <v>60</v>
      </c>
      <c r="S1" s="1">
        <v>70</v>
      </c>
      <c r="T1" s="1"/>
      <c r="U1" s="1"/>
      <c r="V1" s="1"/>
      <c r="W1" s="1"/>
      <c r="X1" s="1"/>
      <c r="Y1" s="1"/>
      <c r="Z1" s="1"/>
    </row>
    <row r="2" spans="1:26" x14ac:dyDescent="0.2">
      <c r="A2" s="1">
        <v>1</v>
      </c>
      <c r="B2" s="2">
        <v>1.2572092643805901</v>
      </c>
      <c r="C2" s="2">
        <v>5.0405216191646298</v>
      </c>
      <c r="D2" s="2">
        <v>10.955625169983101</v>
      </c>
      <c r="E2" s="2">
        <v>8.7359584301252298</v>
      </c>
      <c r="F2" s="2">
        <v>25.005525436239498</v>
      </c>
      <c r="G2" s="2">
        <v>39.574764749416403</v>
      </c>
      <c r="H2" s="2">
        <v>45.987248370485098</v>
      </c>
      <c r="I2" s="2">
        <v>51.636043176557699</v>
      </c>
      <c r="L2" s="1">
        <v>1</v>
      </c>
      <c r="M2">
        <v>0.37833123547840503</v>
      </c>
      <c r="N2">
        <v>0.48492079528012999</v>
      </c>
      <c r="O2">
        <v>0.249291638858155</v>
      </c>
      <c r="P2">
        <v>0.59370790429647502</v>
      </c>
      <c r="Q2">
        <v>0.76635110970071796</v>
      </c>
      <c r="R2">
        <v>0.74550065176840996</v>
      </c>
      <c r="S2">
        <v>0.71969762731681697</v>
      </c>
    </row>
    <row r="3" spans="1:26" x14ac:dyDescent="0.2">
      <c r="A3" s="1">
        <v>2</v>
      </c>
      <c r="B3">
        <v>-1.04937623603144</v>
      </c>
      <c r="C3">
        <v>0.178934876633774</v>
      </c>
      <c r="D3">
        <v>4.1728398462526703</v>
      </c>
      <c r="E3">
        <v>15.5929908514477</v>
      </c>
      <c r="F3">
        <v>34.630213535972203</v>
      </c>
      <c r="G3">
        <v>43.9042788866969</v>
      </c>
      <c r="H3">
        <v>60.564345021473898</v>
      </c>
      <c r="I3">
        <v>83.431680318503496</v>
      </c>
      <c r="L3" s="1">
        <v>2</v>
      </c>
      <c r="M3">
        <v>0.12283111126652101</v>
      </c>
      <c r="N3">
        <v>0.26111080411420501</v>
      </c>
      <c r="O3">
        <v>0.55474556958263799</v>
      </c>
      <c r="P3">
        <v>0.89198974430009104</v>
      </c>
      <c r="Q3">
        <v>0.89907310245456695</v>
      </c>
      <c r="R3">
        <v>1.02689535429176</v>
      </c>
      <c r="S3">
        <v>1.20687223649336</v>
      </c>
    </row>
    <row r="4" spans="1:26" x14ac:dyDescent="0.2">
      <c r="A4" s="1">
        <v>3</v>
      </c>
      <c r="B4">
        <v>4.7390828760873402</v>
      </c>
      <c r="C4">
        <v>9.6518268883107705</v>
      </c>
      <c r="D4">
        <v>19.0175207977504</v>
      </c>
      <c r="E4">
        <v>16.2577069861666</v>
      </c>
      <c r="F4">
        <v>22.623776491965099</v>
      </c>
      <c r="G4">
        <v>27.288210699653799</v>
      </c>
      <c r="H4">
        <v>35.400762129399901</v>
      </c>
      <c r="I4">
        <v>40.4003840291656</v>
      </c>
      <c r="L4" s="1">
        <v>3</v>
      </c>
      <c r="M4">
        <v>0.491274401222343</v>
      </c>
      <c r="N4">
        <v>0.71392189608315104</v>
      </c>
      <c r="O4">
        <v>0.38395413700264203</v>
      </c>
      <c r="P4">
        <v>0.44711734039694501</v>
      </c>
      <c r="Q4">
        <v>0.45098255647133001</v>
      </c>
      <c r="R4">
        <v>0.51102798755520895</v>
      </c>
      <c r="S4">
        <v>0.50944715932968898</v>
      </c>
    </row>
    <row r="5" spans="1:26" x14ac:dyDescent="0.2">
      <c r="A5" s="1">
        <v>4</v>
      </c>
      <c r="B5">
        <v>3.1942771343368599</v>
      </c>
      <c r="C5">
        <v>3.1379963136016098</v>
      </c>
      <c r="D5">
        <v>20.6377259098971</v>
      </c>
      <c r="E5">
        <v>12.5252306489713</v>
      </c>
      <c r="F5">
        <v>26.936889628398799</v>
      </c>
      <c r="G5">
        <v>35.600352312351603</v>
      </c>
      <c r="H5">
        <v>48.700399599479297</v>
      </c>
      <c r="I5">
        <v>56.925515854177902</v>
      </c>
      <c r="L5" s="1">
        <v>4</v>
      </c>
      <c r="M5">
        <v>-5.6280820735255897E-3</v>
      </c>
      <c r="N5">
        <v>0.87217243877801198</v>
      </c>
      <c r="O5">
        <v>0.31103178382114899</v>
      </c>
      <c r="P5">
        <v>0.59356531235154797</v>
      </c>
      <c r="Q5">
        <v>0.64812150356029496</v>
      </c>
      <c r="R5">
        <v>0.75843537441903996</v>
      </c>
      <c r="S5">
        <v>0.76758912456915795</v>
      </c>
    </row>
    <row r="6" spans="1:26" x14ac:dyDescent="0.2">
      <c r="A6" s="1">
        <v>5</v>
      </c>
      <c r="B6">
        <v>9.2197309094754001</v>
      </c>
      <c r="C6">
        <v>19.6698332445301</v>
      </c>
      <c r="D6">
        <v>26.344817365246701</v>
      </c>
      <c r="E6">
        <v>31.866539724211901</v>
      </c>
      <c r="F6">
        <v>37.878073853059703</v>
      </c>
      <c r="G6">
        <v>45.505731274401001</v>
      </c>
      <c r="H6">
        <v>58.248537359675197</v>
      </c>
      <c r="I6">
        <v>64.236214726613696</v>
      </c>
      <c r="L6" s="1">
        <v>5</v>
      </c>
      <c r="M6">
        <v>1.0450102335054701</v>
      </c>
      <c r="N6">
        <v>0.85625432278856795</v>
      </c>
      <c r="O6">
        <v>0.754893627157884</v>
      </c>
      <c r="P6">
        <v>0.71645857358960696</v>
      </c>
      <c r="Q6">
        <v>0.72572000729851205</v>
      </c>
      <c r="R6">
        <v>0.81714677416999604</v>
      </c>
      <c r="S6">
        <v>0.785949768816262</v>
      </c>
    </row>
    <row r="7" spans="1:26" x14ac:dyDescent="0.2">
      <c r="A7" s="1">
        <v>6</v>
      </c>
      <c r="B7">
        <v>-15.1203722841674</v>
      </c>
      <c r="C7">
        <v>-7.5909851274048101</v>
      </c>
      <c r="D7">
        <v>-6.0330713670826004</v>
      </c>
      <c r="E7">
        <v>12.8018369982458</v>
      </c>
      <c r="F7">
        <v>38.374568432920299</v>
      </c>
      <c r="G7">
        <v>39.755397924750703</v>
      </c>
      <c r="H7">
        <v>51.065974979927901</v>
      </c>
      <c r="I7">
        <v>67.409063969842705</v>
      </c>
      <c r="L7" s="1">
        <v>6</v>
      </c>
      <c r="M7">
        <v>0.75293871567625703</v>
      </c>
      <c r="N7">
        <v>0.45436504585423898</v>
      </c>
      <c r="O7">
        <v>0.93074030941377295</v>
      </c>
      <c r="P7">
        <v>1.3373735179271899</v>
      </c>
      <c r="Q7">
        <v>1.0975154041783599</v>
      </c>
      <c r="R7">
        <v>1.10310578773492</v>
      </c>
      <c r="S7">
        <v>1.17899194648586</v>
      </c>
    </row>
    <row r="8" spans="1:26" x14ac:dyDescent="0.2">
      <c r="A8" s="1">
        <v>7</v>
      </c>
      <c r="B8">
        <v>19.306151213377401</v>
      </c>
      <c r="C8">
        <v>24.6551140383377</v>
      </c>
      <c r="D8">
        <v>39.462404766636404</v>
      </c>
      <c r="E8">
        <v>35.507517792595003</v>
      </c>
      <c r="F8">
        <v>45.926459245879201</v>
      </c>
      <c r="G8">
        <v>54.283323252674101</v>
      </c>
      <c r="H8">
        <v>63.6927844012409</v>
      </c>
      <c r="I8">
        <v>73.475809101649105</v>
      </c>
      <c r="L8" s="1">
        <v>7</v>
      </c>
      <c r="M8">
        <v>0.53489628249602605</v>
      </c>
      <c r="N8">
        <v>1.0078126776629499</v>
      </c>
      <c r="O8">
        <v>0.54004555264058596</v>
      </c>
      <c r="P8">
        <v>0.66550770081254496</v>
      </c>
      <c r="Q8">
        <v>0.699543440785933</v>
      </c>
      <c r="R8">
        <v>0.73977721979772504</v>
      </c>
      <c r="S8">
        <v>0.77385225554673798</v>
      </c>
    </row>
    <row r="9" spans="1:26" x14ac:dyDescent="0.2">
      <c r="A9" s="1">
        <v>8</v>
      </c>
      <c r="B9">
        <v>10.825586991234401</v>
      </c>
      <c r="C9">
        <v>6.5575176301752096</v>
      </c>
      <c r="D9">
        <v>24.1662697125373</v>
      </c>
      <c r="E9">
        <v>24.687271614174598</v>
      </c>
      <c r="F9">
        <v>33.003175957620002</v>
      </c>
      <c r="G9">
        <v>40.478135632268497</v>
      </c>
      <c r="H9">
        <v>39.964034513478403</v>
      </c>
      <c r="I9">
        <v>43.759162539869202</v>
      </c>
      <c r="L9" s="1">
        <v>8</v>
      </c>
      <c r="M9">
        <v>-0.42680693610591702</v>
      </c>
      <c r="N9">
        <v>0.66703413606514705</v>
      </c>
      <c r="O9">
        <v>0.46205615409800599</v>
      </c>
      <c r="P9">
        <v>0.55443972415964005</v>
      </c>
      <c r="Q9">
        <v>0.59305097282068298</v>
      </c>
      <c r="R9">
        <v>0.48564079203740101</v>
      </c>
      <c r="S9">
        <v>0.47047965069478398</v>
      </c>
    </row>
    <row r="10" spans="1:26" x14ac:dyDescent="0.2">
      <c r="A10" s="1">
        <v>9</v>
      </c>
      <c r="B10">
        <v>-3.5310565111866099</v>
      </c>
      <c r="C10">
        <v>10.2254369612687</v>
      </c>
      <c r="D10">
        <v>20.408500997159798</v>
      </c>
      <c r="E10">
        <v>28.944843391324198</v>
      </c>
      <c r="F10">
        <v>34.878423317506702</v>
      </c>
      <c r="G10">
        <v>47.674208404461702</v>
      </c>
      <c r="H10">
        <v>51.736754238856598</v>
      </c>
      <c r="I10">
        <v>62.956808395631498</v>
      </c>
      <c r="L10" s="1">
        <v>9</v>
      </c>
      <c r="M10">
        <v>1.37564934724553</v>
      </c>
      <c r="N10">
        <v>1.1969778754173199</v>
      </c>
      <c r="O10">
        <v>1.0825299967503601</v>
      </c>
      <c r="P10">
        <v>0.96023699571733301</v>
      </c>
      <c r="Q10">
        <v>1.0241052983129699</v>
      </c>
      <c r="R10">
        <v>0.92113017916738604</v>
      </c>
      <c r="S10">
        <v>0.94982664152597296</v>
      </c>
    </row>
    <row r="11" spans="1:26" x14ac:dyDescent="0.2">
      <c r="A11" s="1">
        <v>10</v>
      </c>
      <c r="B11">
        <v>24.1086388346347</v>
      </c>
      <c r="C11">
        <v>29.546242024313699</v>
      </c>
      <c r="D11">
        <v>28.3087322565409</v>
      </c>
      <c r="E11">
        <v>37.144357437532101</v>
      </c>
      <c r="F11">
        <v>36.960371349242401</v>
      </c>
      <c r="G11">
        <v>45.839713657066902</v>
      </c>
      <c r="H11">
        <v>51.910092719058099</v>
      </c>
      <c r="I11">
        <v>52.902117034982602</v>
      </c>
      <c r="L11" s="1">
        <v>10</v>
      </c>
      <c r="M11">
        <v>0.543760318967902</v>
      </c>
      <c r="N11">
        <v>0.21000467109530899</v>
      </c>
      <c r="O11">
        <v>0.43452395342991401</v>
      </c>
      <c r="P11">
        <v>0.32129331286519303</v>
      </c>
      <c r="Q11">
        <v>0.43462149644864301</v>
      </c>
      <c r="R11">
        <v>0.46335756474039003</v>
      </c>
      <c r="S11">
        <v>0.41133540286211301</v>
      </c>
    </row>
    <row r="12" spans="1:26" x14ac:dyDescent="0.2">
      <c r="A12" s="1">
        <v>11</v>
      </c>
      <c r="B12">
        <v>21.653273254986601</v>
      </c>
      <c r="C12">
        <v>27.661432827855499</v>
      </c>
      <c r="D12">
        <v>36.375618048918902</v>
      </c>
      <c r="E12">
        <v>36.9959147842333</v>
      </c>
      <c r="F12">
        <v>50.828968561757698</v>
      </c>
      <c r="G12">
        <v>63.468377270837202</v>
      </c>
      <c r="H12">
        <v>76.470789420528106</v>
      </c>
      <c r="I12">
        <v>84.366547623693606</v>
      </c>
      <c r="L12" s="1">
        <v>11</v>
      </c>
      <c r="M12">
        <v>0.60081595728688697</v>
      </c>
      <c r="N12">
        <v>0.73611723969661202</v>
      </c>
      <c r="O12">
        <v>0.51142138430822104</v>
      </c>
      <c r="P12">
        <v>0.72939238266927697</v>
      </c>
      <c r="Q12">
        <v>0.83630208031701103</v>
      </c>
      <c r="R12">
        <v>0.913625269425692</v>
      </c>
      <c r="S12">
        <v>0.89590391955295701</v>
      </c>
    </row>
    <row r="13" spans="1:26" x14ac:dyDescent="0.2">
      <c r="A13" s="1">
        <v>12</v>
      </c>
      <c r="B13">
        <v>-25.990709049416701</v>
      </c>
      <c r="C13">
        <v>-26.338627672548999</v>
      </c>
      <c r="D13">
        <v>-17.199042590831102</v>
      </c>
      <c r="E13">
        <v>-11.6898636711664</v>
      </c>
      <c r="F13">
        <v>-4.4343954235198303E-2</v>
      </c>
      <c r="G13">
        <v>7.5058772858802003</v>
      </c>
      <c r="H13">
        <v>22.130469264471099</v>
      </c>
      <c r="I13">
        <v>36.533428484275099</v>
      </c>
      <c r="L13" s="1">
        <v>12</v>
      </c>
      <c r="M13">
        <v>-3.4791862313225903E-2</v>
      </c>
      <c r="N13">
        <v>0.43958332292927899</v>
      </c>
      <c r="O13">
        <v>0.47669484594167699</v>
      </c>
      <c r="P13">
        <v>0.64865912737953801</v>
      </c>
      <c r="Q13">
        <v>0.66993172670593804</v>
      </c>
      <c r="R13">
        <v>0.80201963856479697</v>
      </c>
      <c r="S13">
        <v>0.89320196476702496</v>
      </c>
    </row>
    <row r="14" spans="1:26" x14ac:dyDescent="0.2">
      <c r="A14" s="1">
        <v>13</v>
      </c>
      <c r="B14">
        <v>18.295578049274098</v>
      </c>
      <c r="C14">
        <v>28.740170074583801</v>
      </c>
      <c r="D14">
        <v>31.457351145524299</v>
      </c>
      <c r="E14">
        <v>38.823084579369898</v>
      </c>
      <c r="F14">
        <v>42.927454115470198</v>
      </c>
      <c r="G14">
        <v>49.492119615675101</v>
      </c>
      <c r="H14">
        <v>56.028639005333297</v>
      </c>
      <c r="I14">
        <v>54.703460865830301</v>
      </c>
      <c r="L14" s="1">
        <v>13</v>
      </c>
      <c r="M14">
        <v>1.04445920253097</v>
      </c>
      <c r="N14">
        <v>0.658088654812512</v>
      </c>
      <c r="O14">
        <v>0.68425021766986005</v>
      </c>
      <c r="P14">
        <v>0.61579690165490297</v>
      </c>
      <c r="Q14">
        <v>0.62393083132801996</v>
      </c>
      <c r="R14">
        <v>0.62888434926765402</v>
      </c>
      <c r="S14">
        <v>0.52011261166509004</v>
      </c>
    </row>
    <row r="15" spans="1:26" x14ac:dyDescent="0.2">
      <c r="A15" s="1">
        <v>14</v>
      </c>
      <c r="B15">
        <v>-11.585064023478401</v>
      </c>
      <c r="C15">
        <v>-4.50209359302261</v>
      </c>
      <c r="D15">
        <v>8.1795891597345598</v>
      </c>
      <c r="E15">
        <v>17.1670488165148</v>
      </c>
      <c r="F15">
        <v>29.141928511058602</v>
      </c>
      <c r="G15">
        <v>35.927950718857502</v>
      </c>
      <c r="H15">
        <v>47.987989214368497</v>
      </c>
      <c r="I15">
        <v>71.067906330951899</v>
      </c>
      <c r="L15" s="1">
        <v>14</v>
      </c>
      <c r="M15">
        <v>0.70829704304557894</v>
      </c>
      <c r="N15">
        <v>0.98823265916064795</v>
      </c>
      <c r="O15">
        <v>0.95840376133310801</v>
      </c>
      <c r="P15">
        <v>1.0181748133634201</v>
      </c>
      <c r="Q15">
        <v>0.95026029484671903</v>
      </c>
      <c r="R15">
        <v>0.99288422063078097</v>
      </c>
      <c r="S15">
        <v>1.1807567193490001</v>
      </c>
    </row>
    <row r="16" spans="1:26" x14ac:dyDescent="0.2">
      <c r="A16" s="1">
        <v>15</v>
      </c>
      <c r="B16">
        <v>-10.0560494613936</v>
      </c>
      <c r="C16">
        <v>-5.9080674340333896</v>
      </c>
      <c r="D16">
        <v>2.1398182971967401</v>
      </c>
      <c r="E16">
        <v>22.610112279805101</v>
      </c>
      <c r="F16">
        <v>36.578742650643697</v>
      </c>
      <c r="G16">
        <v>50.9269208072864</v>
      </c>
      <c r="H16">
        <v>74.998584413034607</v>
      </c>
      <c r="I16">
        <v>101.18388403707399</v>
      </c>
      <c r="L16" s="1">
        <v>15</v>
      </c>
      <c r="M16">
        <v>0.41479820273601897</v>
      </c>
      <c r="N16">
        <v>0.60979338792951598</v>
      </c>
      <c r="O16">
        <v>1.08887205803996</v>
      </c>
      <c r="P16">
        <v>1.16586980280093</v>
      </c>
      <c r="Q16">
        <v>1.2196594053736001</v>
      </c>
      <c r="R16">
        <v>1.41757723124047</v>
      </c>
      <c r="S16">
        <v>1.58914190712096</v>
      </c>
    </row>
    <row r="17" spans="1:19" x14ac:dyDescent="0.2">
      <c r="A17" s="1">
        <v>16</v>
      </c>
      <c r="B17">
        <v>6.2154583272039696</v>
      </c>
      <c r="C17">
        <v>7.0561166386499501</v>
      </c>
      <c r="D17">
        <v>25.6483244669915</v>
      </c>
      <c r="E17">
        <v>53.412719378218597</v>
      </c>
      <c r="F17">
        <v>62.025413674798898</v>
      </c>
      <c r="G17">
        <v>71.352942492931007</v>
      </c>
      <c r="H17">
        <v>78.743480321366505</v>
      </c>
      <c r="I17">
        <v>87.750923919584395</v>
      </c>
      <c r="L17" s="1">
        <v>16</v>
      </c>
      <c r="M17">
        <v>8.4065831144598105E-2</v>
      </c>
      <c r="N17">
        <v>0.97164330698937595</v>
      </c>
      <c r="O17">
        <v>1.5732420350338201</v>
      </c>
      <c r="P17">
        <v>1.39524888368987</v>
      </c>
      <c r="Q17">
        <v>1.30274968331454</v>
      </c>
      <c r="R17">
        <v>1.2088003665693801</v>
      </c>
      <c r="S17">
        <v>1.16479236560543</v>
      </c>
    </row>
    <row r="18" spans="1:19" x14ac:dyDescent="0.2">
      <c r="A18" s="1">
        <v>17</v>
      </c>
      <c r="B18">
        <v>-4.6266877484174298</v>
      </c>
      <c r="C18">
        <v>-3.6646584787374001</v>
      </c>
      <c r="D18">
        <v>-1.89914666259276</v>
      </c>
      <c r="E18">
        <v>17.300667440885299</v>
      </c>
      <c r="F18">
        <v>30.117124730264798</v>
      </c>
      <c r="G18">
        <v>34.122086618222298</v>
      </c>
      <c r="H18">
        <v>45.367647447750599</v>
      </c>
      <c r="I18">
        <v>59.869492234677899</v>
      </c>
      <c r="L18" s="1">
        <v>17</v>
      </c>
      <c r="M18">
        <v>9.6202926968002797E-2</v>
      </c>
      <c r="N18">
        <v>0.13637705429123401</v>
      </c>
      <c r="O18">
        <v>0.73091183964342599</v>
      </c>
      <c r="P18">
        <v>0.86859531196705497</v>
      </c>
      <c r="Q18">
        <v>0.77497548733279498</v>
      </c>
      <c r="R18">
        <v>0.83323891993613297</v>
      </c>
      <c r="S18">
        <v>0.92137399975850498</v>
      </c>
    </row>
    <row r="19" spans="1:19" x14ac:dyDescent="0.2">
      <c r="A19" s="1">
        <v>18</v>
      </c>
      <c r="B19">
        <v>28.4918831226043</v>
      </c>
      <c r="C19">
        <v>29.557815761695402</v>
      </c>
      <c r="D19">
        <v>27.2462893961888</v>
      </c>
      <c r="E19">
        <v>36.2780954367257</v>
      </c>
      <c r="F19">
        <v>45.310017002557203</v>
      </c>
      <c r="G19">
        <v>53.860737207933397</v>
      </c>
      <c r="H19">
        <v>63.156268241834397</v>
      </c>
      <c r="I19">
        <v>72.080385453584995</v>
      </c>
      <c r="L19" s="1">
        <v>18</v>
      </c>
      <c r="M19">
        <v>0.106593263909116</v>
      </c>
      <c r="N19">
        <v>-6.22796863207725E-2</v>
      </c>
      <c r="O19">
        <v>0.25954041047071502</v>
      </c>
      <c r="P19">
        <v>0.42045334699882297</v>
      </c>
      <c r="Q19">
        <v>0.50737708170658202</v>
      </c>
      <c r="R19">
        <v>0.57773975198716898</v>
      </c>
      <c r="S19">
        <v>0.62269289044258302</v>
      </c>
    </row>
    <row r="20" spans="1:19" x14ac:dyDescent="0.2">
      <c r="A20" s="1">
        <v>19</v>
      </c>
      <c r="B20">
        <v>2.2675443476902402</v>
      </c>
      <c r="C20">
        <v>11.586610811918799</v>
      </c>
      <c r="D20">
        <v>29.913399818412401</v>
      </c>
      <c r="E20">
        <v>39.441962230131999</v>
      </c>
      <c r="F20">
        <v>55.253887333628803</v>
      </c>
      <c r="G20">
        <v>51.305542189925902</v>
      </c>
      <c r="H20">
        <v>63.844350247144398</v>
      </c>
      <c r="I20">
        <v>77.792619817755906</v>
      </c>
      <c r="L20" s="1">
        <v>19</v>
      </c>
      <c r="M20">
        <v>0.93190664642285304</v>
      </c>
      <c r="N20">
        <v>1.3822927735361099</v>
      </c>
      <c r="O20">
        <v>1.23914726274806</v>
      </c>
      <c r="P20">
        <v>1.32465857464846</v>
      </c>
      <c r="Q20">
        <v>0.98075995684471295</v>
      </c>
      <c r="R20">
        <v>1.0262800983242399</v>
      </c>
      <c r="S20">
        <v>1.0789296495723699</v>
      </c>
    </row>
    <row r="21" spans="1:19" x14ac:dyDescent="0.2">
      <c r="A21" s="1">
        <v>20</v>
      </c>
      <c r="B21">
        <v>-10.8292223833792</v>
      </c>
      <c r="C21">
        <v>5.9635768664407696</v>
      </c>
      <c r="D21">
        <v>-0.41070782718619298</v>
      </c>
      <c r="E21">
        <v>17.6000419311247</v>
      </c>
      <c r="F21">
        <v>27.045770232223902</v>
      </c>
      <c r="G21">
        <v>36.998316138110603</v>
      </c>
      <c r="H21">
        <v>45.7490197903468</v>
      </c>
      <c r="I21">
        <v>61.779356942624503</v>
      </c>
      <c r="L21" s="1">
        <v>20</v>
      </c>
      <c r="M21">
        <v>1.6792799249820001</v>
      </c>
      <c r="N21">
        <v>0.52092572780965096</v>
      </c>
      <c r="O21">
        <v>0.94764214381679701</v>
      </c>
      <c r="P21">
        <v>0.94687481539007801</v>
      </c>
      <c r="Q21">
        <v>0.95655077042979697</v>
      </c>
      <c r="R21">
        <v>0.94297070289543305</v>
      </c>
      <c r="S21">
        <v>1.03726541894291</v>
      </c>
    </row>
    <row r="22" spans="1:19" x14ac:dyDescent="0.2">
      <c r="A22" s="1">
        <v>21</v>
      </c>
      <c r="B22">
        <v>22.3140164285855</v>
      </c>
      <c r="C22">
        <v>28.0155730918793</v>
      </c>
      <c r="D22">
        <v>32.260616356355698</v>
      </c>
      <c r="E22">
        <v>37.568251635187401</v>
      </c>
      <c r="F22">
        <v>42.716067596691502</v>
      </c>
      <c r="G22">
        <v>48.728551885851097</v>
      </c>
      <c r="H22">
        <v>53.577713680405203</v>
      </c>
      <c r="I22">
        <v>67.590630134512494</v>
      </c>
      <c r="L22" s="1">
        <v>21</v>
      </c>
      <c r="M22">
        <v>0.57015566632938597</v>
      </c>
      <c r="N22">
        <v>0.497329996388511</v>
      </c>
      <c r="O22">
        <v>0.50847450688673002</v>
      </c>
      <c r="P22">
        <v>0.51005127920265003</v>
      </c>
      <c r="Q22">
        <v>0.52829070914531195</v>
      </c>
      <c r="R22">
        <v>0.52106162086366203</v>
      </c>
      <c r="S22">
        <v>0.646808767227528</v>
      </c>
    </row>
    <row r="23" spans="1:19" x14ac:dyDescent="0.2">
      <c r="A23" s="1">
        <v>22</v>
      </c>
      <c r="B23">
        <v>-23.563307189230301</v>
      </c>
      <c r="C23">
        <v>-3.2129698024169402</v>
      </c>
      <c r="D23">
        <v>5.2042821564816801</v>
      </c>
      <c r="E23">
        <v>15.9479566270535</v>
      </c>
      <c r="F23">
        <v>18.405707950110099</v>
      </c>
      <c r="G23">
        <v>27.452228382708299</v>
      </c>
      <c r="H23">
        <v>34.354019846303999</v>
      </c>
      <c r="I23">
        <v>53.2184126899906</v>
      </c>
      <c r="L23" s="1">
        <v>22</v>
      </c>
      <c r="M23">
        <v>2.03503373868134</v>
      </c>
      <c r="N23">
        <v>1.4383794672856001</v>
      </c>
      <c r="O23">
        <v>1.3170421272094599</v>
      </c>
      <c r="P23">
        <v>1.0492253784835099</v>
      </c>
      <c r="Q23">
        <v>1.0203107114387699</v>
      </c>
      <c r="R23">
        <v>0.96528878392557205</v>
      </c>
      <c r="S23">
        <v>1.0968817125603001</v>
      </c>
    </row>
    <row r="24" spans="1:19" x14ac:dyDescent="0.2">
      <c r="A24" s="1">
        <v>23</v>
      </c>
      <c r="B24">
        <v>11.2141747677694</v>
      </c>
      <c r="C24">
        <v>10.7710427385522</v>
      </c>
      <c r="D24">
        <v>24.363775280205999</v>
      </c>
      <c r="E24">
        <v>34.525037260545901</v>
      </c>
      <c r="F24">
        <v>39.4603162390083</v>
      </c>
      <c r="G24">
        <v>55.1854609487199</v>
      </c>
      <c r="H24">
        <v>62.1667610984573</v>
      </c>
      <c r="I24">
        <v>76.519028493148198</v>
      </c>
      <c r="L24" s="1">
        <v>23</v>
      </c>
      <c r="M24">
        <v>-4.4313202921718899E-2</v>
      </c>
      <c r="N24">
        <v>0.65748002562182895</v>
      </c>
      <c r="O24">
        <v>0.77702874975921599</v>
      </c>
      <c r="P24">
        <v>0.70615353678097204</v>
      </c>
      <c r="Q24">
        <v>0.87942572361900895</v>
      </c>
      <c r="R24">
        <v>0.84920977217813098</v>
      </c>
      <c r="S24">
        <v>0.93292648179112603</v>
      </c>
    </row>
    <row r="25" spans="1:19" x14ac:dyDescent="0.2">
      <c r="A25" s="1">
        <v>24</v>
      </c>
      <c r="B25">
        <v>8.4009165654406299</v>
      </c>
      <c r="C25">
        <v>13.9380128698824</v>
      </c>
      <c r="D25">
        <v>27.7820769655082</v>
      </c>
      <c r="E25">
        <v>36.045457425893602</v>
      </c>
      <c r="F25">
        <v>44.464776317944498</v>
      </c>
      <c r="G25">
        <v>50.143552124583699</v>
      </c>
      <c r="H25">
        <v>60.718880702262403</v>
      </c>
      <c r="I25">
        <v>72.508401786688694</v>
      </c>
      <c r="L25" s="1">
        <v>24</v>
      </c>
      <c r="M25">
        <v>0.55370963044417598</v>
      </c>
      <c r="N25">
        <v>0.96905802000337804</v>
      </c>
      <c r="O25">
        <v>0.92148469534843302</v>
      </c>
      <c r="P25">
        <v>0.90159649381259699</v>
      </c>
      <c r="Q25">
        <v>0.83485271118286097</v>
      </c>
      <c r="R25">
        <v>0.87196606894702999</v>
      </c>
      <c r="S25">
        <v>0.91582121744640099</v>
      </c>
    </row>
    <row r="26" spans="1:19" x14ac:dyDescent="0.2">
      <c r="A26" s="1">
        <v>25</v>
      </c>
      <c r="B26">
        <v>-28.230005390138501</v>
      </c>
      <c r="C26">
        <v>-21.1193927633493</v>
      </c>
      <c r="D26">
        <v>12.0751385175613</v>
      </c>
      <c r="E26">
        <v>29.228945558397999</v>
      </c>
      <c r="F26">
        <v>40.430501967914203</v>
      </c>
      <c r="G26">
        <v>50.3572982604489</v>
      </c>
      <c r="H26">
        <v>60.454254938263198</v>
      </c>
      <c r="I26">
        <v>80.208502323256795</v>
      </c>
      <c r="L26" s="1">
        <v>25</v>
      </c>
      <c r="M26">
        <v>0.71106126267891601</v>
      </c>
      <c r="N26">
        <v>2.01525719538499</v>
      </c>
      <c r="O26">
        <v>1.9152983649512201</v>
      </c>
      <c r="P26">
        <v>1.7165126839513201</v>
      </c>
      <c r="Q26">
        <v>1.5717460730117501</v>
      </c>
      <c r="R26">
        <v>1.4780710054733599</v>
      </c>
      <c r="S26">
        <v>1.5491215387627899</v>
      </c>
    </row>
    <row r="27" spans="1:19" x14ac:dyDescent="0.2">
      <c r="A27" s="1">
        <v>26</v>
      </c>
      <c r="B27">
        <v>-22.5595019101318</v>
      </c>
      <c r="C27">
        <v>-17.045613270715499</v>
      </c>
      <c r="D27">
        <v>-19.493327443976799</v>
      </c>
      <c r="E27">
        <v>-14.861649662471599</v>
      </c>
      <c r="F27">
        <v>7.4494317920111701</v>
      </c>
      <c r="G27">
        <v>20.500083152334799</v>
      </c>
      <c r="H27">
        <v>44.482025245088003</v>
      </c>
      <c r="I27">
        <v>63.509544283052598</v>
      </c>
      <c r="L27" s="1">
        <v>26</v>
      </c>
      <c r="M27">
        <v>0.551388863941628</v>
      </c>
      <c r="N27">
        <v>0.153308723307749</v>
      </c>
      <c r="O27">
        <v>0.256595074922007</v>
      </c>
      <c r="P27">
        <v>0.75022334255357404</v>
      </c>
      <c r="Q27">
        <v>0.86119170124933198</v>
      </c>
      <c r="R27">
        <v>1.11735878592033</v>
      </c>
      <c r="S27">
        <v>1.22955780275978</v>
      </c>
    </row>
    <row r="28" spans="1:19" x14ac:dyDescent="0.2">
      <c r="A28" s="1">
        <v>27</v>
      </c>
      <c r="B28">
        <v>11.3855152142155</v>
      </c>
      <c r="C28">
        <v>1.64963680539177</v>
      </c>
      <c r="D28">
        <v>0.116326789265126</v>
      </c>
      <c r="E28">
        <v>18.189789489095599</v>
      </c>
      <c r="F28">
        <v>30.5616881610304</v>
      </c>
      <c r="G28">
        <v>53.164937960421398</v>
      </c>
      <c r="H28">
        <v>55.358630850249</v>
      </c>
      <c r="I28">
        <v>62.762683006543298</v>
      </c>
      <c r="L28" s="1">
        <v>27</v>
      </c>
      <c r="M28">
        <v>-0.97358784088236905</v>
      </c>
      <c r="N28">
        <v>-0.56345942124751702</v>
      </c>
      <c r="O28">
        <v>0.22680914249600601</v>
      </c>
      <c r="P28">
        <v>0.479404323670374</v>
      </c>
      <c r="Q28">
        <v>0.83558845492411804</v>
      </c>
      <c r="R28">
        <v>0.73288526060055903</v>
      </c>
      <c r="S28">
        <v>0.73395953989039697</v>
      </c>
    </row>
    <row r="29" spans="1:19" x14ac:dyDescent="0.2">
      <c r="A29" s="1">
        <v>28</v>
      </c>
      <c r="B29">
        <v>0.62920655279510096</v>
      </c>
      <c r="C29">
        <v>3.4860549354364601</v>
      </c>
      <c r="D29">
        <v>17.405990211858999</v>
      </c>
      <c r="E29">
        <v>20.122689801681201</v>
      </c>
      <c r="F29">
        <v>27.753735762302501</v>
      </c>
      <c r="G29">
        <v>41.577698066240799</v>
      </c>
      <c r="H29">
        <v>51.103525708772501</v>
      </c>
      <c r="I29">
        <v>66.514626003066994</v>
      </c>
      <c r="L29" s="1">
        <v>28</v>
      </c>
      <c r="M29">
        <v>0.28568483826413599</v>
      </c>
      <c r="N29">
        <v>0.83883918295319404</v>
      </c>
      <c r="O29">
        <v>0.64978277496287096</v>
      </c>
      <c r="P29">
        <v>0.67811323023768499</v>
      </c>
      <c r="Q29">
        <v>0.81896983026891301</v>
      </c>
      <c r="R29">
        <v>0.84123865259962305</v>
      </c>
      <c r="S29">
        <v>0.94122027786102802</v>
      </c>
    </row>
    <row r="30" spans="1:19" x14ac:dyDescent="0.2">
      <c r="A30" s="1">
        <v>29</v>
      </c>
      <c r="B30">
        <v>6.4819052845012397</v>
      </c>
      <c r="C30">
        <v>19.5414781799502</v>
      </c>
      <c r="D30">
        <v>27.181751005526799</v>
      </c>
      <c r="E30">
        <v>43.099969629128502</v>
      </c>
      <c r="F30">
        <v>55.941402852046501</v>
      </c>
      <c r="G30">
        <v>59.2377880708869</v>
      </c>
      <c r="H30">
        <v>66.565270325720306</v>
      </c>
      <c r="I30">
        <v>73.946717129301405</v>
      </c>
      <c r="L30" s="1">
        <v>29</v>
      </c>
      <c r="M30">
        <v>1.3059572895449001</v>
      </c>
      <c r="N30">
        <v>1.0349922860512799</v>
      </c>
      <c r="O30">
        <v>1.2206021448209099</v>
      </c>
      <c r="P30">
        <v>1.23648743918863</v>
      </c>
      <c r="Q30">
        <v>1.05511765572771</v>
      </c>
      <c r="R30">
        <v>1.0013894173536499</v>
      </c>
      <c r="S30">
        <v>0.96378302635428803</v>
      </c>
    </row>
    <row r="31" spans="1:19" x14ac:dyDescent="0.2">
      <c r="A31" s="1">
        <v>30</v>
      </c>
      <c r="B31">
        <v>24.018599003781901</v>
      </c>
      <c r="C31">
        <v>21.122391229480598</v>
      </c>
      <c r="D31">
        <v>23.548254736887898</v>
      </c>
      <c r="E31">
        <v>27.508938941260801</v>
      </c>
      <c r="F31">
        <v>42.398490305249297</v>
      </c>
      <c r="G31">
        <v>53.288436709930799</v>
      </c>
      <c r="H31">
        <v>61.833749585354099</v>
      </c>
      <c r="I31">
        <v>69.664484239299597</v>
      </c>
      <c r="L31" s="1">
        <v>30</v>
      </c>
      <c r="M31">
        <v>-0.28962077743012798</v>
      </c>
      <c r="N31" s="3">
        <v>-2.3517213344699299E-2</v>
      </c>
      <c r="O31">
        <v>0.116344664582631</v>
      </c>
      <c r="P31">
        <v>0.45949728253668498</v>
      </c>
      <c r="Q31">
        <v>0.58539675412297898</v>
      </c>
      <c r="R31">
        <v>0.63025250969287105</v>
      </c>
      <c r="S31">
        <v>0.65208407479311004</v>
      </c>
    </row>
    <row r="32" spans="1:19" x14ac:dyDescent="0.2">
      <c r="A32" s="1">
        <v>31</v>
      </c>
      <c r="B32">
        <v>3.1207327181469702</v>
      </c>
      <c r="C32">
        <v>19.637746688099899</v>
      </c>
      <c r="D32">
        <v>31.140808304698599</v>
      </c>
      <c r="E32">
        <v>30.519138390142199</v>
      </c>
      <c r="F32">
        <v>48.793206229301902</v>
      </c>
      <c r="G32">
        <v>55.0549130806493</v>
      </c>
      <c r="H32">
        <v>71.443666830261193</v>
      </c>
      <c r="I32">
        <v>98.554054494953405</v>
      </c>
      <c r="L32" s="1">
        <v>31</v>
      </c>
      <c r="M32">
        <v>1.6517013969952901</v>
      </c>
      <c r="N32">
        <v>1.40100377932758</v>
      </c>
      <c r="O32">
        <v>0.91328018906650699</v>
      </c>
      <c r="P32">
        <v>1.14181183777887</v>
      </c>
      <c r="Q32">
        <v>1.03868360725005</v>
      </c>
      <c r="R32">
        <v>1.1387155685352399</v>
      </c>
      <c r="S32">
        <v>1.36333316824009</v>
      </c>
    </row>
    <row r="33" spans="1:19" x14ac:dyDescent="0.2">
      <c r="A33" s="1">
        <v>32</v>
      </c>
      <c r="B33">
        <v>-5.76304545534094</v>
      </c>
      <c r="C33">
        <v>19.148481049897502</v>
      </c>
      <c r="D33">
        <v>31.512409712446001</v>
      </c>
      <c r="E33">
        <v>45.441499302688001</v>
      </c>
      <c r="F33">
        <v>36.468340476442599</v>
      </c>
      <c r="G33">
        <v>55.398241966833403</v>
      </c>
      <c r="H33">
        <v>55.7711217735188</v>
      </c>
      <c r="I33">
        <v>76.236324496938494</v>
      </c>
      <c r="L33" s="1">
        <v>32</v>
      </c>
      <c r="M33">
        <v>2.4911526505238499</v>
      </c>
      <c r="N33">
        <v>1.86377275838935</v>
      </c>
      <c r="O33">
        <v>1.7068181586009601</v>
      </c>
      <c r="P33">
        <v>1.0557846482945901</v>
      </c>
      <c r="Q33">
        <v>1.2232257484434901</v>
      </c>
      <c r="R33">
        <v>1.0255694538143301</v>
      </c>
      <c r="S33">
        <v>1.17141957074685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18C0-DECA-6842-B506-53418D954F1D}">
  <dimension ref="A1:S33"/>
  <sheetViews>
    <sheetView workbookViewId="0">
      <selection activeCell="T8" sqref="T8"/>
    </sheetView>
  </sheetViews>
  <sheetFormatPr baseColWidth="10" defaultRowHeight="16" x14ac:dyDescent="0.2"/>
  <sheetData>
    <row r="1" spans="1:19" x14ac:dyDescent="0.2"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L1" s="2" t="s">
        <v>1</v>
      </c>
      <c r="M1" s="1">
        <v>10</v>
      </c>
      <c r="N1" s="1">
        <v>20</v>
      </c>
      <c r="O1" s="1">
        <v>30</v>
      </c>
      <c r="P1" s="1">
        <v>40</v>
      </c>
      <c r="Q1" s="1">
        <v>50</v>
      </c>
      <c r="R1" s="1">
        <v>60</v>
      </c>
      <c r="S1" s="1">
        <v>70</v>
      </c>
    </row>
    <row r="2" spans="1:19" x14ac:dyDescent="0.2">
      <c r="A2" s="1">
        <v>1</v>
      </c>
      <c r="B2">
        <v>-4.74318020365049</v>
      </c>
      <c r="C2">
        <v>-2.6442878354795201</v>
      </c>
      <c r="D2">
        <v>-6.5234824367718698</v>
      </c>
      <c r="E2">
        <v>-1.9659576057896</v>
      </c>
      <c r="F2">
        <v>12.5649459848789</v>
      </c>
      <c r="G2">
        <v>36.1683355531896</v>
      </c>
      <c r="H2">
        <v>50.376857055556798</v>
      </c>
      <c r="I2">
        <v>59.239953224371199</v>
      </c>
      <c r="L2" s="1">
        <v>1</v>
      </c>
      <c r="M2">
        <v>0.20988923681709701</v>
      </c>
      <c r="N2">
        <v>-8.9015111656068999E-2</v>
      </c>
      <c r="O2">
        <v>9.2574086595362995E-2</v>
      </c>
      <c r="P2">
        <v>0.43270315471323301</v>
      </c>
      <c r="Q2">
        <v>0.818230315136801</v>
      </c>
      <c r="R2">
        <v>0.91866728765345296</v>
      </c>
      <c r="S2">
        <v>0.91404476325745199</v>
      </c>
    </row>
    <row r="3" spans="1:19" x14ac:dyDescent="0.2">
      <c r="A3" s="1">
        <v>2</v>
      </c>
      <c r="B3">
        <v>-0.91080294396410399</v>
      </c>
      <c r="C3">
        <v>1.27170563256673</v>
      </c>
      <c r="D3">
        <v>0.41236010527608202</v>
      </c>
      <c r="E3">
        <v>8.8422930769547694</v>
      </c>
      <c r="F3">
        <v>23.858875259146402</v>
      </c>
      <c r="G3">
        <v>40.762144030540902</v>
      </c>
      <c r="H3">
        <v>66.398376175745199</v>
      </c>
      <c r="I3">
        <v>93.2557179433215</v>
      </c>
      <c r="L3" s="1">
        <v>2</v>
      </c>
      <c r="M3">
        <v>0.218250857653083</v>
      </c>
      <c r="N3">
        <v>6.6158152462008998E-2</v>
      </c>
      <c r="O3">
        <v>0.32510320069729598</v>
      </c>
      <c r="P3">
        <v>0.61924195507776303</v>
      </c>
      <c r="Q3">
        <v>0.83345893949009997</v>
      </c>
      <c r="R3">
        <v>1.12181965199515</v>
      </c>
      <c r="S3">
        <v>1.3452360126755101</v>
      </c>
    </row>
    <row r="4" spans="1:19" x14ac:dyDescent="0.2">
      <c r="A4" s="1">
        <v>3</v>
      </c>
      <c r="B4">
        <v>-8.4634078660161904</v>
      </c>
      <c r="C4">
        <v>-3.6111145025381899</v>
      </c>
      <c r="D4">
        <v>-3.6513662416303299</v>
      </c>
      <c r="E4">
        <v>-0.36078325084336199</v>
      </c>
      <c r="F4">
        <v>5.0319604260503699</v>
      </c>
      <c r="G4">
        <v>15.8503158280903</v>
      </c>
      <c r="H4">
        <v>20.4385028038431</v>
      </c>
      <c r="I4">
        <v>31.8039219690077</v>
      </c>
      <c r="L4" s="1">
        <v>3</v>
      </c>
      <c r="M4">
        <v>0.48522933634780002</v>
      </c>
      <c r="N4">
        <v>0.240602081219293</v>
      </c>
      <c r="O4">
        <v>0.27008748717242798</v>
      </c>
      <c r="P4">
        <v>0.33738420730166402</v>
      </c>
      <c r="Q4">
        <v>0.48627447388212902</v>
      </c>
      <c r="R4">
        <v>0.481698511164322</v>
      </c>
      <c r="S4">
        <v>0.57524756907176999</v>
      </c>
    </row>
    <row r="5" spans="1:19" x14ac:dyDescent="0.2">
      <c r="A5" s="1">
        <v>4</v>
      </c>
      <c r="B5">
        <v>-6.0134313243980504</v>
      </c>
      <c r="C5">
        <v>-5.5650840321922601</v>
      </c>
      <c r="D5">
        <v>-1.6207377488358801</v>
      </c>
      <c r="E5">
        <v>1.7986003247484801</v>
      </c>
      <c r="F5">
        <v>17.060013636439901</v>
      </c>
      <c r="G5">
        <v>33.819946459674902</v>
      </c>
      <c r="H5">
        <v>47.680459959168097</v>
      </c>
      <c r="I5">
        <v>64.373384033012002</v>
      </c>
      <c r="L5" s="1">
        <v>4</v>
      </c>
      <c r="M5">
        <v>4.4834729220579003E-2</v>
      </c>
      <c r="N5">
        <v>0.21963467877810799</v>
      </c>
      <c r="O5">
        <v>0.26040105497155103</v>
      </c>
      <c r="P5">
        <v>0.57683612402094797</v>
      </c>
      <c r="Q5">
        <v>0.79666755568145797</v>
      </c>
      <c r="R5">
        <v>0.894898188059435</v>
      </c>
      <c r="S5">
        <v>1.0055259336772799</v>
      </c>
    </row>
    <row r="6" spans="1:19" x14ac:dyDescent="0.2">
      <c r="A6" s="1">
        <v>5</v>
      </c>
      <c r="B6">
        <v>8.3075081861260003</v>
      </c>
      <c r="C6">
        <v>-1.82208300795793</v>
      </c>
      <c r="D6">
        <v>3.4468484616011899</v>
      </c>
      <c r="E6">
        <v>14.8086523363413</v>
      </c>
      <c r="F6">
        <v>33.802299914110797</v>
      </c>
      <c r="G6">
        <v>51.637188083092703</v>
      </c>
      <c r="H6">
        <v>67.942107981711999</v>
      </c>
      <c r="I6">
        <v>83.395144775369602</v>
      </c>
      <c r="L6" s="1">
        <v>5</v>
      </c>
      <c r="M6">
        <v>-1.01295911940839</v>
      </c>
      <c r="N6">
        <v>-0.24303298622624001</v>
      </c>
      <c r="O6">
        <v>0.21670480500717701</v>
      </c>
      <c r="P6">
        <v>0.63736979319961995</v>
      </c>
      <c r="Q6">
        <v>0.86659359793933199</v>
      </c>
      <c r="R6">
        <v>0.99390999659309798</v>
      </c>
      <c r="S6">
        <v>1.0726805227034699</v>
      </c>
    </row>
    <row r="7" spans="1:19" x14ac:dyDescent="0.2">
      <c r="A7" s="1">
        <v>6</v>
      </c>
      <c r="B7">
        <v>-26.624854020601301</v>
      </c>
      <c r="C7">
        <v>-43.452688509021101</v>
      </c>
      <c r="D7">
        <v>-27.948221871136699</v>
      </c>
      <c r="E7">
        <v>-24.3257077740646</v>
      </c>
      <c r="F7">
        <v>-2.6444549943343301</v>
      </c>
      <c r="G7">
        <v>19.575083403144902</v>
      </c>
      <c r="H7">
        <v>30.151687649293301</v>
      </c>
      <c r="I7">
        <v>38.275687740539503</v>
      </c>
      <c r="L7" s="1">
        <v>6</v>
      </c>
      <c r="M7">
        <v>-1.6827834488419799</v>
      </c>
      <c r="N7">
        <v>-6.6168392526769995E-2</v>
      </c>
      <c r="O7">
        <v>7.6638208217888998E-2</v>
      </c>
      <c r="P7">
        <v>0.59950997565667496</v>
      </c>
      <c r="Q7">
        <v>0.92399874847492502</v>
      </c>
      <c r="R7">
        <v>0.946275694498244</v>
      </c>
      <c r="S7">
        <v>0.92715059658772803</v>
      </c>
    </row>
    <row r="8" spans="1:19" x14ac:dyDescent="0.2">
      <c r="A8" s="1">
        <v>7</v>
      </c>
      <c r="B8">
        <v>5.7290108602935801</v>
      </c>
      <c r="C8">
        <v>8.3821828664310392</v>
      </c>
      <c r="D8">
        <v>15.9887807068525</v>
      </c>
      <c r="E8">
        <v>15.755946768428499</v>
      </c>
      <c r="F8">
        <v>23.3815148098221</v>
      </c>
      <c r="G8">
        <v>42.839719297235703</v>
      </c>
      <c r="H8">
        <v>61.278958379445797</v>
      </c>
      <c r="I8">
        <v>75.552480171320596</v>
      </c>
      <c r="L8" s="1">
        <v>7</v>
      </c>
      <c r="M8">
        <v>0.26531720061374697</v>
      </c>
      <c r="N8">
        <v>0.51298849232794597</v>
      </c>
      <c r="O8">
        <v>0.33423119693783099</v>
      </c>
      <c r="P8">
        <v>0.44131259873821399</v>
      </c>
      <c r="Q8">
        <v>0.74221416873884305</v>
      </c>
      <c r="R8">
        <v>0.92583245865253805</v>
      </c>
      <c r="S8">
        <v>0.99747813301467303</v>
      </c>
    </row>
    <row r="9" spans="1:19" x14ac:dyDescent="0.2">
      <c r="A9" s="1">
        <v>8</v>
      </c>
      <c r="B9">
        <v>-11.759421889383599</v>
      </c>
      <c r="C9">
        <v>1.0079916230389701</v>
      </c>
      <c r="D9">
        <v>-0.78920849933251902</v>
      </c>
      <c r="E9">
        <v>13.0621177460146</v>
      </c>
      <c r="F9">
        <v>34.474152015709997</v>
      </c>
      <c r="G9">
        <v>49.276921895276999</v>
      </c>
      <c r="H9">
        <v>60.014194245963701</v>
      </c>
      <c r="I9">
        <v>73.890112633941399</v>
      </c>
      <c r="L9" s="1">
        <v>8</v>
      </c>
      <c r="M9">
        <v>1.2767413512422601</v>
      </c>
      <c r="N9">
        <v>0.548510669502555</v>
      </c>
      <c r="O9">
        <v>0.82738465451327303</v>
      </c>
      <c r="P9">
        <v>1.1558393476273401</v>
      </c>
      <c r="Q9">
        <v>1.2207268756932099</v>
      </c>
      <c r="R9">
        <v>1.19622693558912</v>
      </c>
      <c r="S9">
        <v>1.22356477890464</v>
      </c>
    </row>
    <row r="10" spans="1:19" x14ac:dyDescent="0.2">
      <c r="A10" s="1">
        <v>9</v>
      </c>
      <c r="B10">
        <v>2.6333569676841</v>
      </c>
      <c r="C10">
        <v>0.39264207347093799</v>
      </c>
      <c r="D10">
        <v>4.3524679036912</v>
      </c>
      <c r="E10">
        <v>12.855286438225599</v>
      </c>
      <c r="F10">
        <v>28.002788392408799</v>
      </c>
      <c r="G10">
        <v>44.870757739347198</v>
      </c>
      <c r="H10">
        <v>61.447830302809997</v>
      </c>
      <c r="I10">
        <v>71.864364978110601</v>
      </c>
      <c r="L10" s="1">
        <v>9</v>
      </c>
      <c r="M10">
        <v>-0.22407148942131699</v>
      </c>
      <c r="N10">
        <v>8.5955546800354998E-2</v>
      </c>
      <c r="O10">
        <v>0.34073098235138199</v>
      </c>
      <c r="P10">
        <v>0.634235785618118</v>
      </c>
      <c r="Q10">
        <v>0.84474801543326306</v>
      </c>
      <c r="R10">
        <v>0.98024122225209798</v>
      </c>
      <c r="S10">
        <v>0.98901440014895103</v>
      </c>
    </row>
    <row r="11" spans="1:19" x14ac:dyDescent="0.2">
      <c r="A11" s="1">
        <v>10</v>
      </c>
      <c r="B11">
        <v>-7.6111299276151199</v>
      </c>
      <c r="C11">
        <v>-0.34120804403777399</v>
      </c>
      <c r="D11">
        <v>3.9097311533114198</v>
      </c>
      <c r="E11">
        <v>3.1332531723008098E-3</v>
      </c>
      <c r="F11">
        <v>13.4060560290696</v>
      </c>
      <c r="G11">
        <v>21.573596865490899</v>
      </c>
      <c r="H11">
        <v>40.900022941899401</v>
      </c>
      <c r="I11">
        <v>49.484481413793802</v>
      </c>
      <c r="L11" s="1">
        <v>10</v>
      </c>
      <c r="M11">
        <v>0.72699218835773505</v>
      </c>
      <c r="N11">
        <v>0.57604305404632705</v>
      </c>
      <c r="O11">
        <v>0.25380877269291402</v>
      </c>
      <c r="P11">
        <v>0.52542964891711896</v>
      </c>
      <c r="Q11">
        <v>0.58369453586212205</v>
      </c>
      <c r="R11">
        <v>0.808519214491909</v>
      </c>
      <c r="S11">
        <v>0.81565159059155701</v>
      </c>
    </row>
    <row r="12" spans="1:19" x14ac:dyDescent="0.2">
      <c r="A12" s="1">
        <v>11</v>
      </c>
      <c r="B12">
        <v>-6.3330304283236396</v>
      </c>
      <c r="C12">
        <v>5.12250811040653</v>
      </c>
      <c r="D12">
        <v>9.3380091551726494</v>
      </c>
      <c r="E12">
        <v>24.4429713888509</v>
      </c>
      <c r="F12">
        <v>38.322813061201302</v>
      </c>
      <c r="G12">
        <v>50.788087337702301</v>
      </c>
      <c r="H12">
        <v>58.456912212910403</v>
      </c>
      <c r="I12">
        <v>74.843710282828098</v>
      </c>
      <c r="L12" s="1">
        <v>11</v>
      </c>
      <c r="M12">
        <v>1.1455538538730099</v>
      </c>
      <c r="N12">
        <v>0.78355197917481501</v>
      </c>
      <c r="O12">
        <v>1.02586672723915</v>
      </c>
      <c r="P12">
        <v>1.11639608723812</v>
      </c>
      <c r="Q12">
        <v>1.1424223553205199</v>
      </c>
      <c r="R12">
        <v>1.0798323773539</v>
      </c>
      <c r="S12">
        <v>1.15966772444502</v>
      </c>
    </row>
    <row r="13" spans="1:19" x14ac:dyDescent="0.2">
      <c r="A13" s="1">
        <v>12</v>
      </c>
      <c r="B13">
        <v>-30.111917008417802</v>
      </c>
      <c r="C13">
        <v>-25.599658758882001</v>
      </c>
      <c r="D13">
        <v>-32.363816791240701</v>
      </c>
      <c r="E13">
        <v>-25.525199479343101</v>
      </c>
      <c r="F13">
        <v>-10.947846583124701</v>
      </c>
      <c r="G13">
        <v>36.145121550677601</v>
      </c>
      <c r="H13">
        <v>61.077435235744097</v>
      </c>
      <c r="I13">
        <v>81.175115749403005</v>
      </c>
      <c r="L13" s="1">
        <v>12</v>
      </c>
      <c r="M13">
        <v>0.45122582495357899</v>
      </c>
      <c r="N13">
        <v>-0.112594989141148</v>
      </c>
      <c r="O13">
        <v>0.152890584302488</v>
      </c>
      <c r="P13">
        <v>0.47910176063232801</v>
      </c>
      <c r="Q13">
        <v>1.3251407711819001</v>
      </c>
      <c r="R13">
        <v>1.5198225374026899</v>
      </c>
      <c r="S13">
        <v>1.58981475368315</v>
      </c>
    </row>
    <row r="14" spans="1:19" x14ac:dyDescent="0.2">
      <c r="A14" s="1">
        <v>13</v>
      </c>
      <c r="B14">
        <v>13.2963547764433</v>
      </c>
      <c r="C14">
        <v>17.304405359504699</v>
      </c>
      <c r="D14">
        <v>20.8160178074939</v>
      </c>
      <c r="E14">
        <v>31.464595065554501</v>
      </c>
      <c r="F14">
        <v>38.483716554890002</v>
      </c>
      <c r="G14">
        <v>44.601332937160599</v>
      </c>
      <c r="H14">
        <v>54.955190790313601</v>
      </c>
      <c r="I14">
        <v>58.1539666264486</v>
      </c>
      <c r="L14" s="1">
        <v>13</v>
      </c>
      <c r="M14">
        <v>0.40080505830614299</v>
      </c>
      <c r="N14">
        <v>0.37598315155253098</v>
      </c>
      <c r="O14">
        <v>0.60560800963703798</v>
      </c>
      <c r="P14">
        <v>0.62968404446116699</v>
      </c>
      <c r="Q14">
        <v>0.62609956321434701</v>
      </c>
      <c r="R14">
        <v>0.69431393356450499</v>
      </c>
      <c r="S14">
        <v>0.64082302642864797</v>
      </c>
    </row>
    <row r="15" spans="1:19" x14ac:dyDescent="0.2">
      <c r="A15" s="1">
        <v>14</v>
      </c>
      <c r="B15">
        <v>-21.615764794317499</v>
      </c>
      <c r="C15">
        <v>-13.590634564700199</v>
      </c>
      <c r="D15">
        <v>-13.1785146016389</v>
      </c>
      <c r="E15">
        <v>7.8727559872686301</v>
      </c>
      <c r="F15">
        <v>19.639485453944602</v>
      </c>
      <c r="G15">
        <v>30.7395096158453</v>
      </c>
      <c r="H15">
        <v>46.618769603824198</v>
      </c>
      <c r="I15">
        <v>74.670458384385597</v>
      </c>
      <c r="L15" s="1">
        <v>14</v>
      </c>
      <c r="M15">
        <v>0.80251302296173199</v>
      </c>
      <c r="N15">
        <v>0.42186250963393201</v>
      </c>
      <c r="O15">
        <v>0.98295069271953905</v>
      </c>
      <c r="P15">
        <v>1.0313812562065501</v>
      </c>
      <c r="Q15">
        <v>1.04710548820325</v>
      </c>
      <c r="R15">
        <v>1.1372422399690201</v>
      </c>
      <c r="S15">
        <v>1.37551747398147</v>
      </c>
    </row>
    <row r="16" spans="1:19" x14ac:dyDescent="0.2">
      <c r="A16" s="1">
        <v>15</v>
      </c>
      <c r="B16">
        <v>-8.5402514104777403</v>
      </c>
      <c r="C16">
        <v>-5.7924626675283504</v>
      </c>
      <c r="D16">
        <v>-7.4014407039537504</v>
      </c>
      <c r="E16">
        <v>3.4298707636062602</v>
      </c>
      <c r="F16">
        <v>21.124838706900999</v>
      </c>
      <c r="G16">
        <v>31.534355105356202</v>
      </c>
      <c r="H16">
        <v>65.212317944597302</v>
      </c>
      <c r="I16">
        <v>93.320785195210604</v>
      </c>
      <c r="L16" s="1">
        <v>15</v>
      </c>
      <c r="M16">
        <v>0.27477887429493902</v>
      </c>
      <c r="N16">
        <v>5.6940535326198999E-2</v>
      </c>
      <c r="O16">
        <v>0.39900407246946701</v>
      </c>
      <c r="P16">
        <v>0.74162725293446796</v>
      </c>
      <c r="Q16">
        <v>0.80149213031667799</v>
      </c>
      <c r="R16">
        <v>1.22920948925125</v>
      </c>
      <c r="S16">
        <v>1.4551576657955401</v>
      </c>
    </row>
    <row r="17" spans="1:19" x14ac:dyDescent="0.2">
      <c r="A17" s="1">
        <v>16</v>
      </c>
      <c r="B17">
        <v>22.0698412458188</v>
      </c>
      <c r="C17">
        <v>19.663685220859001</v>
      </c>
      <c r="D17">
        <v>19.953454233677501</v>
      </c>
      <c r="E17">
        <v>28.468086509880699</v>
      </c>
      <c r="F17">
        <v>51.185320766308898</v>
      </c>
      <c r="G17">
        <v>70.015942768649893</v>
      </c>
      <c r="H17">
        <v>80.5545854341444</v>
      </c>
      <c r="I17">
        <v>91.269023074663806</v>
      </c>
      <c r="L17" s="1">
        <v>16</v>
      </c>
      <c r="M17">
        <v>-0.24061560249597799</v>
      </c>
      <c r="N17">
        <v>-0.105819350607063</v>
      </c>
      <c r="O17">
        <v>0.21327484213539699</v>
      </c>
      <c r="P17">
        <v>0.72788698801225304</v>
      </c>
      <c r="Q17">
        <v>0.95892203045662305</v>
      </c>
      <c r="R17">
        <v>0.97474573647209495</v>
      </c>
      <c r="S17">
        <v>0.98855974041207395</v>
      </c>
    </row>
    <row r="18" spans="1:19" x14ac:dyDescent="0.2">
      <c r="A18" s="1">
        <v>17</v>
      </c>
      <c r="B18">
        <v>-7.5407675636749403</v>
      </c>
      <c r="C18">
        <v>-4.8698076530843997</v>
      </c>
      <c r="D18">
        <v>7.69891664900344</v>
      </c>
      <c r="E18">
        <v>15.598432487862</v>
      </c>
      <c r="F18">
        <v>22.808479087713302</v>
      </c>
      <c r="G18">
        <v>36.054027706533198</v>
      </c>
      <c r="H18">
        <v>50.704879540957101</v>
      </c>
      <c r="I18">
        <v>52.8302565890328</v>
      </c>
      <c r="L18" s="1">
        <v>17</v>
      </c>
      <c r="M18">
        <v>0.26709599105905502</v>
      </c>
      <c r="N18">
        <v>0.76198421063391997</v>
      </c>
      <c r="O18">
        <v>0.77130666838456696</v>
      </c>
      <c r="P18">
        <v>0.75873116628470705</v>
      </c>
      <c r="Q18">
        <v>0.87189590540416395</v>
      </c>
      <c r="R18">
        <v>0.97076078507720198</v>
      </c>
      <c r="S18">
        <v>0.86244320218154003</v>
      </c>
    </row>
    <row r="19" spans="1:19" x14ac:dyDescent="0.2">
      <c r="A19" s="1">
        <v>18</v>
      </c>
      <c r="B19">
        <v>-8.6947657537051395</v>
      </c>
      <c r="C19">
        <v>-1.0346878070750101</v>
      </c>
      <c r="D19">
        <v>-1.11357232907347</v>
      </c>
      <c r="E19">
        <v>8.2156439553123697</v>
      </c>
      <c r="F19">
        <v>33.475567314938203</v>
      </c>
      <c r="G19">
        <v>55.583411892629996</v>
      </c>
      <c r="H19">
        <v>69.676910580681906</v>
      </c>
      <c r="I19">
        <v>85.149781286300197</v>
      </c>
      <c r="L19" s="1">
        <v>18</v>
      </c>
      <c r="M19">
        <v>0.76600779466301305</v>
      </c>
      <c r="N19">
        <v>0.37905967123158402</v>
      </c>
      <c r="O19">
        <v>0.56368032363391696</v>
      </c>
      <c r="P19">
        <v>1.0542583267160801</v>
      </c>
      <c r="Q19">
        <v>1.2855635529267</v>
      </c>
      <c r="R19">
        <v>1.30619460557311</v>
      </c>
      <c r="S19">
        <v>1.34063638628579</v>
      </c>
    </row>
    <row r="20" spans="1:19" x14ac:dyDescent="0.2">
      <c r="A20" s="1">
        <v>19</v>
      </c>
      <c r="B20">
        <v>-1.92956660032756</v>
      </c>
      <c r="C20">
        <v>-4.84237227024924</v>
      </c>
      <c r="D20">
        <v>13.8096806547189</v>
      </c>
      <c r="E20">
        <v>27.104870389021201</v>
      </c>
      <c r="F20">
        <v>40.415805186043798</v>
      </c>
      <c r="G20">
        <v>48.293177611624799</v>
      </c>
      <c r="H20">
        <v>58.338720960432603</v>
      </c>
      <c r="I20">
        <v>75.425725477671307</v>
      </c>
      <c r="L20" s="1">
        <v>19</v>
      </c>
      <c r="M20">
        <v>-0.29128056699216798</v>
      </c>
      <c r="N20">
        <v>0.78696236275232001</v>
      </c>
      <c r="O20">
        <v>0.96781456631162299</v>
      </c>
      <c r="P20">
        <v>1.0586342946592799</v>
      </c>
      <c r="Q20">
        <v>1.0044548842390399</v>
      </c>
      <c r="R20">
        <v>1.004471459346</v>
      </c>
      <c r="S20">
        <v>1.10507560111426</v>
      </c>
    </row>
    <row r="21" spans="1:19" x14ac:dyDescent="0.2">
      <c r="A21" s="1">
        <v>20</v>
      </c>
      <c r="B21">
        <v>-4.2393804651728502</v>
      </c>
      <c r="C21">
        <v>-13.6129601467377</v>
      </c>
      <c r="D21">
        <v>-6.0381026766367096</v>
      </c>
      <c r="E21">
        <v>-7.52591582225977</v>
      </c>
      <c r="F21">
        <v>5.7132077566197701</v>
      </c>
      <c r="G21">
        <v>29.534368657334898</v>
      </c>
      <c r="H21">
        <v>54.078997548318902</v>
      </c>
      <c r="I21">
        <v>70.365113193720006</v>
      </c>
      <c r="L21" s="1">
        <v>20</v>
      </c>
      <c r="M21">
        <v>-0.93735796815648798</v>
      </c>
      <c r="N21">
        <v>-8.9936110573193007E-2</v>
      </c>
      <c r="O21">
        <v>-0.10955117856956401</v>
      </c>
      <c r="P21">
        <v>0.248814705544815</v>
      </c>
      <c r="Q21">
        <v>0.67547498245015303</v>
      </c>
      <c r="R21">
        <v>0.97197296689152801</v>
      </c>
      <c r="S21">
        <v>1.06577848084132</v>
      </c>
    </row>
    <row r="22" spans="1:19" x14ac:dyDescent="0.2">
      <c r="A22" s="1">
        <v>21</v>
      </c>
      <c r="B22">
        <v>5.7146856537950903</v>
      </c>
      <c r="C22">
        <v>8.3272204126835394</v>
      </c>
      <c r="D22">
        <v>12.7842357537572</v>
      </c>
      <c r="E22">
        <v>16.560785356215501</v>
      </c>
      <c r="F22">
        <v>28.121603188748399</v>
      </c>
      <c r="G22">
        <v>36.925072035349999</v>
      </c>
      <c r="H22">
        <v>46.5631109118967</v>
      </c>
      <c r="I22">
        <v>53.703280606235602</v>
      </c>
      <c r="L22" s="1">
        <v>21</v>
      </c>
      <c r="M22">
        <v>0.26125347588884501</v>
      </c>
      <c r="N22">
        <v>0.35347750499810399</v>
      </c>
      <c r="O22">
        <v>0.36153665674734797</v>
      </c>
      <c r="P22">
        <v>0.56017293837383397</v>
      </c>
      <c r="Q22">
        <v>0.624207727631098</v>
      </c>
      <c r="R22">
        <v>0.68080708763502695</v>
      </c>
      <c r="S22">
        <v>0.68555135646343601</v>
      </c>
    </row>
    <row r="23" spans="1:19" x14ac:dyDescent="0.2">
      <c r="A23" s="1">
        <v>22</v>
      </c>
      <c r="B23">
        <v>-16.337606556632799</v>
      </c>
      <c r="C23">
        <v>-12.4527840489529</v>
      </c>
      <c r="D23">
        <v>-2.8184020334876498</v>
      </c>
      <c r="E23">
        <v>10.939268658335701</v>
      </c>
      <c r="F23">
        <v>26.626270571476901</v>
      </c>
      <c r="G23">
        <v>35.357403674443802</v>
      </c>
      <c r="H23">
        <v>44.298590208776901</v>
      </c>
      <c r="I23">
        <v>54.749807043093199</v>
      </c>
      <c r="L23" s="1">
        <v>22</v>
      </c>
      <c r="M23">
        <v>0.38848225076799803</v>
      </c>
      <c r="N23">
        <v>0.67596022615725904</v>
      </c>
      <c r="O23">
        <v>0.90922917383228496</v>
      </c>
      <c r="P23">
        <v>1.0740969282027399</v>
      </c>
      <c r="Q23">
        <v>1.03390020462153</v>
      </c>
      <c r="R23">
        <v>1.01060327942349</v>
      </c>
      <c r="S23">
        <v>1.0155344799960799</v>
      </c>
    </row>
    <row r="24" spans="1:19" x14ac:dyDescent="0.2">
      <c r="A24" s="1">
        <v>23</v>
      </c>
      <c r="B24">
        <v>11.262580618106799</v>
      </c>
      <c r="C24">
        <v>12.868864892723099</v>
      </c>
      <c r="D24">
        <v>17.2541155891399</v>
      </c>
      <c r="E24">
        <v>17.8840387356226</v>
      </c>
      <c r="F24">
        <v>24.333219087180499</v>
      </c>
      <c r="G24">
        <v>41.8548427251257</v>
      </c>
      <c r="H24">
        <v>53.783531719703397</v>
      </c>
      <c r="I24">
        <v>66.698136955580097</v>
      </c>
      <c r="L24" s="1">
        <v>23</v>
      </c>
      <c r="M24">
        <v>0.16062842746162601</v>
      </c>
      <c r="N24">
        <v>0.29957674855165101</v>
      </c>
      <c r="O24">
        <v>0.22071527058385801</v>
      </c>
      <c r="P24">
        <v>0.32676596172684302</v>
      </c>
      <c r="Q24">
        <v>0.61184524214037705</v>
      </c>
      <c r="R24">
        <v>0.708682518359942</v>
      </c>
      <c r="S24">
        <v>0.79193651910676099</v>
      </c>
    </row>
    <row r="25" spans="1:19" x14ac:dyDescent="0.2">
      <c r="A25" s="1">
        <v>24</v>
      </c>
      <c r="B25">
        <v>6.1481711262984202</v>
      </c>
      <c r="C25">
        <v>14.404819122306201</v>
      </c>
      <c r="D25">
        <v>20.7515314869405</v>
      </c>
      <c r="E25">
        <v>25.7890524678722</v>
      </c>
      <c r="F25">
        <v>38.692755052591203</v>
      </c>
      <c r="G25">
        <v>46.103974247921101</v>
      </c>
      <c r="H25">
        <v>59.708506524332797</v>
      </c>
      <c r="I25">
        <v>77.494957846865006</v>
      </c>
      <c r="L25" s="1">
        <v>24</v>
      </c>
      <c r="M25">
        <v>0.82566479960077899</v>
      </c>
      <c r="N25">
        <v>0.73016801803210196</v>
      </c>
      <c r="O25">
        <v>0.65469604471912601</v>
      </c>
      <c r="P25">
        <v>0.81361459815731796</v>
      </c>
      <c r="Q25">
        <v>0.79911606243245303</v>
      </c>
      <c r="R25">
        <v>0.89267225663390404</v>
      </c>
      <c r="S25">
        <v>1.0192398102938001</v>
      </c>
    </row>
    <row r="26" spans="1:19" x14ac:dyDescent="0.2">
      <c r="A26" s="1">
        <v>25</v>
      </c>
      <c r="B26">
        <v>-30.5939178087161</v>
      </c>
      <c r="C26">
        <v>-20.3335915400367</v>
      </c>
      <c r="D26">
        <v>-4.9042123638933903</v>
      </c>
      <c r="E26">
        <v>14.325983124346999</v>
      </c>
      <c r="F26">
        <v>24.549567506953402</v>
      </c>
      <c r="G26">
        <v>34.983221751917199</v>
      </c>
      <c r="H26">
        <v>49.352347470426103</v>
      </c>
      <c r="I26">
        <v>66.997955558504501</v>
      </c>
      <c r="L26" s="1">
        <v>25</v>
      </c>
      <c r="M26">
        <v>1.0260326268679401</v>
      </c>
      <c r="N26">
        <v>1.28448527224114</v>
      </c>
      <c r="O26">
        <v>1.49733003110211</v>
      </c>
      <c r="P26">
        <v>1.3785871328917401</v>
      </c>
      <c r="Q26">
        <v>1.31154279121267</v>
      </c>
      <c r="R26">
        <v>1.33243775465237</v>
      </c>
      <c r="S26">
        <v>1.3941696195317199</v>
      </c>
    </row>
    <row r="27" spans="1:19" x14ac:dyDescent="0.2">
      <c r="A27" s="1">
        <v>26</v>
      </c>
      <c r="B27">
        <v>-15.3997741540496</v>
      </c>
      <c r="C27">
        <v>-16.955018106285099</v>
      </c>
      <c r="D27">
        <v>-19.8345287857282</v>
      </c>
      <c r="E27">
        <v>-20.439150397626701</v>
      </c>
      <c r="F27">
        <v>-15.383866074581199</v>
      </c>
      <c r="G27">
        <v>8.5532772486180608</v>
      </c>
      <c r="H27">
        <v>40.698989577530803</v>
      </c>
      <c r="I27">
        <v>53.094929097765302</v>
      </c>
      <c r="L27" s="1">
        <v>26</v>
      </c>
      <c r="M27">
        <v>-0.155524395223543</v>
      </c>
      <c r="N27">
        <v>-0.22173773158392801</v>
      </c>
      <c r="O27">
        <v>-0.167979208119234</v>
      </c>
      <c r="P27">
        <v>3.9770198671099999E-4</v>
      </c>
      <c r="Q27">
        <v>0.47906102805335299</v>
      </c>
      <c r="R27">
        <v>0.93497939552633802</v>
      </c>
      <c r="S27">
        <v>0.97849576074021105</v>
      </c>
    </row>
    <row r="28" spans="1:19" x14ac:dyDescent="0.2">
      <c r="A28" s="1">
        <v>27</v>
      </c>
      <c r="B28">
        <v>-17.286231594541398</v>
      </c>
      <c r="C28">
        <v>-5.8618379780761298</v>
      </c>
      <c r="D28">
        <v>-17.614381834468599</v>
      </c>
      <c r="E28">
        <v>-11.653019829073401</v>
      </c>
      <c r="F28">
        <v>10.373656786654401</v>
      </c>
      <c r="G28">
        <v>38.843566332366301</v>
      </c>
      <c r="H28">
        <v>61.374882496545801</v>
      </c>
      <c r="I28">
        <v>76.117937574455297</v>
      </c>
      <c r="L28" s="1">
        <v>27</v>
      </c>
      <c r="M28">
        <v>1.14243936164653</v>
      </c>
      <c r="N28">
        <v>-1.6407511996360001E-2</v>
      </c>
      <c r="O28">
        <v>0.18777372551560001</v>
      </c>
      <c r="P28">
        <v>0.69149720952989602</v>
      </c>
      <c r="Q28">
        <v>1.12259595853815</v>
      </c>
      <c r="R28">
        <v>1.3110185681847799</v>
      </c>
      <c r="S28">
        <v>1.3343452738428101</v>
      </c>
    </row>
    <row r="29" spans="1:19" x14ac:dyDescent="0.2">
      <c r="A29" s="1">
        <v>28</v>
      </c>
      <c r="B29">
        <v>-6.7254309686287703</v>
      </c>
      <c r="C29">
        <v>-7.7469510335608103</v>
      </c>
      <c r="D29">
        <v>5.3453634161779204</v>
      </c>
      <c r="E29">
        <v>18.044882795450199</v>
      </c>
      <c r="F29">
        <v>29.213229524853499</v>
      </c>
      <c r="G29">
        <v>41.345064324651098</v>
      </c>
      <c r="H29">
        <v>55.555525816252498</v>
      </c>
      <c r="I29">
        <v>73.497021633757797</v>
      </c>
      <c r="L29" s="1">
        <v>28</v>
      </c>
      <c r="M29">
        <v>-0.102152006493204</v>
      </c>
      <c r="N29">
        <v>0.603539719240334</v>
      </c>
      <c r="O29">
        <v>0.82567712546929795</v>
      </c>
      <c r="P29">
        <v>0.89846651233705699</v>
      </c>
      <c r="Q29">
        <v>0.96140990586559705</v>
      </c>
      <c r="R29">
        <v>1.0380159464146801</v>
      </c>
      <c r="S29">
        <v>1.1460350371769501</v>
      </c>
    </row>
    <row r="30" spans="1:19" x14ac:dyDescent="0.2">
      <c r="A30" s="1">
        <v>29</v>
      </c>
      <c r="B30">
        <v>-0.31648711894042703</v>
      </c>
      <c r="C30">
        <v>17.736814235907101</v>
      </c>
      <c r="D30">
        <v>26.745319561962301</v>
      </c>
      <c r="E30">
        <v>44.101135208185703</v>
      </c>
      <c r="F30">
        <v>53.666146140739102</v>
      </c>
      <c r="G30">
        <v>65.462906007910803</v>
      </c>
      <c r="H30">
        <v>73.542690271731004</v>
      </c>
      <c r="I30">
        <v>78.789457405098403</v>
      </c>
      <c r="L30" s="1">
        <v>29</v>
      </c>
      <c r="M30">
        <v>1.80533013548475</v>
      </c>
      <c r="N30">
        <v>1.3530903340451299</v>
      </c>
      <c r="O30">
        <v>1.4805874109042001</v>
      </c>
      <c r="P30">
        <v>1.3495658314919801</v>
      </c>
      <c r="Q30">
        <v>1.3155878625370201</v>
      </c>
      <c r="R30">
        <v>1.2309862898445201</v>
      </c>
      <c r="S30">
        <v>1.1300849217719799</v>
      </c>
    </row>
    <row r="31" spans="1:19" x14ac:dyDescent="0.2">
      <c r="A31" s="1">
        <v>30</v>
      </c>
      <c r="B31">
        <v>-4.1362927470276398</v>
      </c>
      <c r="C31">
        <v>-3.35315244487342</v>
      </c>
      <c r="D31">
        <v>3.4244369412795299</v>
      </c>
      <c r="E31">
        <v>6.3324965828480497</v>
      </c>
      <c r="F31">
        <v>26.8753575464448</v>
      </c>
      <c r="G31">
        <v>41.976237418453401</v>
      </c>
      <c r="H31">
        <v>51.480976435521299</v>
      </c>
      <c r="I31">
        <v>71.079185290047207</v>
      </c>
      <c r="L31" s="1">
        <v>30</v>
      </c>
      <c r="M31">
        <v>7.8314030215422006E-2</v>
      </c>
      <c r="N31">
        <v>0.37803648441535898</v>
      </c>
      <c r="O31">
        <v>0.34895964432919002</v>
      </c>
      <c r="P31">
        <v>0.77529125733681103</v>
      </c>
      <c r="Q31">
        <v>0.92225060330962205</v>
      </c>
      <c r="R31">
        <v>0.92695448637581601</v>
      </c>
      <c r="S31">
        <v>1.07450682910107</v>
      </c>
    </row>
    <row r="32" spans="1:19" x14ac:dyDescent="0.2">
      <c r="A32" s="1">
        <v>31</v>
      </c>
      <c r="B32">
        <v>-0.42488824174180401</v>
      </c>
      <c r="C32">
        <v>8.6131130702612104</v>
      </c>
      <c r="D32">
        <v>11.3439145246541</v>
      </c>
      <c r="E32">
        <v>28.000922028160002</v>
      </c>
      <c r="F32">
        <v>43.905181523015003</v>
      </c>
      <c r="G32">
        <v>60.616957533888502</v>
      </c>
      <c r="H32">
        <v>88.633088097185507</v>
      </c>
      <c r="I32">
        <v>104.916093306775</v>
      </c>
      <c r="L32" s="1">
        <v>31</v>
      </c>
      <c r="M32">
        <v>0.903800131200302</v>
      </c>
      <c r="N32">
        <v>0.58844013831979503</v>
      </c>
      <c r="O32">
        <v>0.94752700899672604</v>
      </c>
      <c r="P32">
        <v>1.1082517441189199</v>
      </c>
      <c r="Q32">
        <v>1.2208369155126</v>
      </c>
      <c r="R32">
        <v>1.4842996056487801</v>
      </c>
      <c r="S32">
        <v>1.50487116497881</v>
      </c>
    </row>
    <row r="33" spans="1:19" x14ac:dyDescent="0.2">
      <c r="A33" s="1">
        <v>32</v>
      </c>
      <c r="B33">
        <v>-16.775685543084801</v>
      </c>
      <c r="C33">
        <v>1.54877858002757</v>
      </c>
      <c r="D33">
        <v>-1.5482945969445101</v>
      </c>
      <c r="E33">
        <v>9.2187014152517293</v>
      </c>
      <c r="F33">
        <v>31.807480284108301</v>
      </c>
      <c r="G33">
        <v>35.294859055833001</v>
      </c>
      <c r="H33">
        <v>53.3333547764773</v>
      </c>
      <c r="I33">
        <v>82.989057807667507</v>
      </c>
      <c r="L33" s="1">
        <v>32</v>
      </c>
      <c r="M33">
        <v>1.8324464123112301</v>
      </c>
      <c r="N33">
        <v>0.76136954730701401</v>
      </c>
      <c r="O33">
        <v>0.86647956527788395</v>
      </c>
      <c r="P33">
        <v>1.2145791456798201</v>
      </c>
      <c r="Q33">
        <v>1.04141089197835</v>
      </c>
      <c r="R33">
        <v>1.1684840053260299</v>
      </c>
      <c r="S33">
        <v>1.42521061929645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3C38-FE81-284D-ADB8-C8FA6DDDADE0}">
  <dimension ref="A1:S33"/>
  <sheetViews>
    <sheetView tabSelected="1" workbookViewId="0">
      <selection activeCell="R9" sqref="R9"/>
    </sheetView>
  </sheetViews>
  <sheetFormatPr baseColWidth="10" defaultRowHeight="16" x14ac:dyDescent="0.2"/>
  <sheetData>
    <row r="1" spans="1:19" x14ac:dyDescent="0.2"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L1" s="2" t="s">
        <v>1</v>
      </c>
      <c r="M1" s="1">
        <v>10</v>
      </c>
      <c r="N1" s="1">
        <v>20</v>
      </c>
      <c r="O1" s="1">
        <v>30</v>
      </c>
      <c r="P1" s="1">
        <v>40</v>
      </c>
      <c r="Q1" s="1">
        <v>50</v>
      </c>
      <c r="R1" s="1">
        <v>60</v>
      </c>
      <c r="S1" s="1">
        <v>70</v>
      </c>
    </row>
    <row r="2" spans="1:19" x14ac:dyDescent="0.2">
      <c r="A2" s="1">
        <v>1</v>
      </c>
      <c r="B2" s="2">
        <v>-0.30063611543221203</v>
      </c>
      <c r="C2" s="2">
        <v>3.9927666198046698</v>
      </c>
      <c r="D2" s="2">
        <v>6.4612092752620303</v>
      </c>
      <c r="E2" s="2">
        <v>7.6118490828843903</v>
      </c>
      <c r="F2" s="2">
        <v>18.224403182150599</v>
      </c>
      <c r="G2" s="2">
        <v>32.914443291775797</v>
      </c>
      <c r="H2" s="2">
        <v>44.516386698800702</v>
      </c>
      <c r="I2" s="2">
        <v>63.699911230309901</v>
      </c>
      <c r="L2" s="1">
        <v>1</v>
      </c>
      <c r="M2">
        <f>(C2-B2)/10</f>
        <v>0.42934027352368814</v>
      </c>
      <c r="N2">
        <f>(D2-B2)/20</f>
        <v>0.33809226953471211</v>
      </c>
      <c r="O2">
        <f>(E2-B2)/30</f>
        <v>0.26374950661055341</v>
      </c>
      <c r="P2">
        <f>(F2-B2)/40</f>
        <v>0.46312598243957026</v>
      </c>
      <c r="Q2">
        <f>(G2-B2)/50</f>
        <v>0.66430158814416018</v>
      </c>
      <c r="R2">
        <f>(H2-B2)/60</f>
        <v>0.74695038023721527</v>
      </c>
      <c r="S2">
        <f>(I2-B2)/70</f>
        <v>0.9142935335106015</v>
      </c>
    </row>
    <row r="3" spans="1:19" x14ac:dyDescent="0.2">
      <c r="A3" s="1">
        <v>2</v>
      </c>
      <c r="B3">
        <v>-0.81657421327990198</v>
      </c>
      <c r="C3">
        <v>1.06575685919741</v>
      </c>
      <c r="D3">
        <v>3.1307288047293</v>
      </c>
      <c r="E3">
        <v>18.460686606839001</v>
      </c>
      <c r="F3">
        <v>33.290210078661502</v>
      </c>
      <c r="G3">
        <v>48.601007761885</v>
      </c>
      <c r="H3">
        <v>71.944867056525894</v>
      </c>
      <c r="I3">
        <v>94.738643284915199</v>
      </c>
      <c r="L3" s="1">
        <v>2</v>
      </c>
      <c r="M3">
        <f t="shared" ref="M3:M33" si="0">(C3-B3)/10</f>
        <v>0.18823310724773118</v>
      </c>
      <c r="N3">
        <f t="shared" ref="N3:N32" si="1">(D3-B3)/20</f>
        <v>0.19736515090046008</v>
      </c>
      <c r="O3">
        <f t="shared" ref="O3:O33" si="2">(E3-B3)/30</f>
        <v>0.64257536067063015</v>
      </c>
      <c r="P3">
        <f t="shared" ref="P3:P33" si="3">(F3-B3)/40</f>
        <v>0.85266960729853503</v>
      </c>
      <c r="Q3">
        <f t="shared" ref="Q3:Q33" si="4">(G3-B3)/50</f>
        <v>0.98835163950329796</v>
      </c>
      <c r="R3">
        <f t="shared" ref="R3:R33" si="5">(H3-B3)/60</f>
        <v>1.2126906878300967</v>
      </c>
      <c r="S3">
        <f t="shared" ref="S3:S33" si="6">(I3-B3)/70</f>
        <v>1.3650745356885015</v>
      </c>
    </row>
    <row r="4" spans="1:19" x14ac:dyDescent="0.2">
      <c r="A4" s="1">
        <v>3</v>
      </c>
      <c r="B4">
        <v>-8.8653276560602308</v>
      </c>
      <c r="C4">
        <v>1.7426058370667801</v>
      </c>
      <c r="D4">
        <v>3.47563510126494</v>
      </c>
      <c r="E4">
        <v>12.297857492853501</v>
      </c>
      <c r="F4">
        <v>15.5024589974141</v>
      </c>
      <c r="G4">
        <v>28.126286170002398</v>
      </c>
      <c r="H4">
        <v>36.732867605016203</v>
      </c>
      <c r="I4">
        <v>41.645319456810697</v>
      </c>
      <c r="L4" s="1">
        <v>3</v>
      </c>
      <c r="M4">
        <f t="shared" si="0"/>
        <v>1.0607933493127011</v>
      </c>
      <c r="N4">
        <f t="shared" si="1"/>
        <v>0.61704813786625856</v>
      </c>
      <c r="O4">
        <f t="shared" si="2"/>
        <v>0.70543950496379115</v>
      </c>
      <c r="P4">
        <f t="shared" si="3"/>
        <v>0.60919466633685837</v>
      </c>
      <c r="Q4">
        <f t="shared" si="4"/>
        <v>0.73983227652125261</v>
      </c>
      <c r="R4">
        <f t="shared" si="5"/>
        <v>0.75996992101794059</v>
      </c>
      <c r="S4">
        <f t="shared" si="6"/>
        <v>0.72158067304101325</v>
      </c>
    </row>
    <row r="5" spans="1:19" x14ac:dyDescent="0.2">
      <c r="A5" s="1">
        <v>4</v>
      </c>
      <c r="B5">
        <v>-6.5843262829503999</v>
      </c>
      <c r="C5">
        <v>-3.2289625722977702</v>
      </c>
      <c r="D5">
        <v>2.44188283509544</v>
      </c>
      <c r="E5">
        <v>7.28886635213955</v>
      </c>
      <c r="F5">
        <v>23.3819389629057</v>
      </c>
      <c r="G5">
        <v>43.536007388325402</v>
      </c>
      <c r="H5">
        <v>56.055937852917801</v>
      </c>
      <c r="I5">
        <v>69.855919423017596</v>
      </c>
      <c r="L5" s="1">
        <v>4</v>
      </c>
      <c r="M5">
        <f t="shared" si="0"/>
        <v>0.33553637106526296</v>
      </c>
      <c r="N5">
        <f t="shared" si="1"/>
        <v>0.45131045590229196</v>
      </c>
      <c r="O5">
        <f t="shared" si="2"/>
        <v>0.46243975450299835</v>
      </c>
      <c r="P5">
        <f t="shared" si="3"/>
        <v>0.74915663114640252</v>
      </c>
      <c r="Q5">
        <f t="shared" si="4"/>
        <v>1.0024066734255159</v>
      </c>
      <c r="R5">
        <f t="shared" si="5"/>
        <v>1.0440044022644701</v>
      </c>
      <c r="S5">
        <f t="shared" si="6"/>
        <v>1.092003510085257</v>
      </c>
    </row>
    <row r="6" spans="1:19" x14ac:dyDescent="0.2">
      <c r="A6" s="1">
        <v>5</v>
      </c>
      <c r="B6">
        <v>1.19106468964294</v>
      </c>
      <c r="C6">
        <v>9.0058606711052107</v>
      </c>
      <c r="D6">
        <v>16.222035183547099</v>
      </c>
      <c r="E6">
        <v>20.112587173268299</v>
      </c>
      <c r="F6">
        <v>32.550921124521203</v>
      </c>
      <c r="G6">
        <v>45.0291340322567</v>
      </c>
      <c r="H6">
        <v>56.576176668600702</v>
      </c>
      <c r="I6">
        <v>71.411047605838704</v>
      </c>
      <c r="L6" s="1">
        <v>5</v>
      </c>
      <c r="M6">
        <f t="shared" si="0"/>
        <v>0.78147959814622703</v>
      </c>
      <c r="N6">
        <f t="shared" si="1"/>
        <v>0.75154852469520805</v>
      </c>
      <c r="O6">
        <f t="shared" si="2"/>
        <v>0.63071741612084531</v>
      </c>
      <c r="P6">
        <f t="shared" si="3"/>
        <v>0.78399641087195659</v>
      </c>
      <c r="Q6">
        <f t="shared" si="4"/>
        <v>0.87676138685227512</v>
      </c>
      <c r="R6">
        <f t="shared" si="5"/>
        <v>0.92308519964929603</v>
      </c>
      <c r="S6">
        <f t="shared" si="6"/>
        <v>1.0031426130885108</v>
      </c>
    </row>
    <row r="7" spans="1:19" x14ac:dyDescent="0.2">
      <c r="A7" s="1">
        <v>6</v>
      </c>
      <c r="B7">
        <v>-35.9292646585181</v>
      </c>
      <c r="C7">
        <v>-27.4346321195281</v>
      </c>
      <c r="D7">
        <v>-20.364257498389399</v>
      </c>
      <c r="E7">
        <v>-9.444179775397</v>
      </c>
      <c r="F7">
        <v>22.650593787990701</v>
      </c>
      <c r="G7">
        <v>38.2624647570943</v>
      </c>
      <c r="H7">
        <v>47.093635188474401</v>
      </c>
      <c r="I7">
        <v>57.855814932679799</v>
      </c>
      <c r="L7" s="1">
        <v>6</v>
      </c>
      <c r="M7">
        <f t="shared" si="0"/>
        <v>0.84946325389900001</v>
      </c>
      <c r="N7">
        <f t="shared" si="1"/>
        <v>0.77825035800643505</v>
      </c>
      <c r="O7">
        <f t="shared" si="2"/>
        <v>0.88283616277070331</v>
      </c>
      <c r="P7">
        <f t="shared" si="3"/>
        <v>1.46449646116272</v>
      </c>
      <c r="Q7">
        <f t="shared" si="4"/>
        <v>1.4838345883122479</v>
      </c>
      <c r="R7">
        <f t="shared" si="5"/>
        <v>1.383714997449875</v>
      </c>
      <c r="S7">
        <f t="shared" si="6"/>
        <v>1.339786851302827</v>
      </c>
    </row>
    <row r="8" spans="1:19" x14ac:dyDescent="0.2">
      <c r="A8" s="1">
        <v>7</v>
      </c>
      <c r="B8">
        <v>14.1292029872087</v>
      </c>
      <c r="C8">
        <v>10.572976974886799</v>
      </c>
      <c r="D8">
        <v>14.9894118059946</v>
      </c>
      <c r="E8">
        <v>22.921996779351399</v>
      </c>
      <c r="F8">
        <v>30.8378903905163</v>
      </c>
      <c r="G8">
        <v>52.605524427787699</v>
      </c>
      <c r="H8">
        <v>62.700372749904197</v>
      </c>
      <c r="I8">
        <v>75.849604528313805</v>
      </c>
      <c r="L8" s="1">
        <v>7</v>
      </c>
      <c r="M8">
        <f t="shared" si="0"/>
        <v>-0.35562260123219003</v>
      </c>
      <c r="N8">
        <f t="shared" si="1"/>
        <v>4.3010440939294979E-2</v>
      </c>
      <c r="O8">
        <f t="shared" si="2"/>
        <v>0.29309312640475665</v>
      </c>
      <c r="P8">
        <f t="shared" si="3"/>
        <v>0.41771718508269001</v>
      </c>
      <c r="Q8">
        <f t="shared" si="4"/>
        <v>0.76952642881157995</v>
      </c>
      <c r="R8">
        <f t="shared" si="5"/>
        <v>0.8095194960449249</v>
      </c>
      <c r="S8">
        <f t="shared" si="6"/>
        <v>0.88172002201578725</v>
      </c>
    </row>
    <row r="9" spans="1:19" x14ac:dyDescent="0.2">
      <c r="A9" s="1">
        <v>8</v>
      </c>
      <c r="B9">
        <v>-6.9413644574002298</v>
      </c>
      <c r="C9">
        <v>0.71498928160831299</v>
      </c>
      <c r="D9">
        <v>10.0630288766574</v>
      </c>
      <c r="E9">
        <v>24.235853806799799</v>
      </c>
      <c r="F9">
        <v>29.580661391685599</v>
      </c>
      <c r="G9">
        <v>43.360069666316697</v>
      </c>
      <c r="H9">
        <v>57.196679524026202</v>
      </c>
      <c r="I9">
        <v>69.505940122641803</v>
      </c>
      <c r="L9" s="1">
        <v>8</v>
      </c>
      <c r="M9">
        <f t="shared" si="0"/>
        <v>0.76563537390085423</v>
      </c>
      <c r="N9">
        <f t="shared" si="1"/>
        <v>0.85021966670288163</v>
      </c>
      <c r="O9">
        <f t="shared" si="2"/>
        <v>1.0392406088066677</v>
      </c>
      <c r="P9">
        <f t="shared" si="3"/>
        <v>0.91305064622714571</v>
      </c>
      <c r="Q9">
        <f t="shared" si="4"/>
        <v>1.0060286824743385</v>
      </c>
      <c r="R9">
        <f t="shared" si="5"/>
        <v>1.0689673996904405</v>
      </c>
      <c r="S9">
        <f t="shared" si="6"/>
        <v>1.0921043511434576</v>
      </c>
    </row>
    <row r="10" spans="1:19" x14ac:dyDescent="0.2">
      <c r="A10" s="1">
        <v>9</v>
      </c>
      <c r="B10">
        <v>-7.3844244699853998E-2</v>
      </c>
      <c r="C10">
        <v>4.28577404271301</v>
      </c>
      <c r="D10">
        <v>18.483815249648401</v>
      </c>
      <c r="E10">
        <v>29.114122453321901</v>
      </c>
      <c r="F10">
        <v>36.011022576134401</v>
      </c>
      <c r="G10">
        <v>45.710631946708403</v>
      </c>
      <c r="H10">
        <v>56.729517670110901</v>
      </c>
      <c r="I10">
        <v>69.161089907618504</v>
      </c>
      <c r="L10" s="1">
        <v>9</v>
      </c>
      <c r="M10">
        <f t="shared" si="0"/>
        <v>0.43596182874128642</v>
      </c>
      <c r="N10">
        <f t="shared" si="1"/>
        <v>0.92788297471741266</v>
      </c>
      <c r="O10">
        <f t="shared" si="2"/>
        <v>0.97293222326739182</v>
      </c>
      <c r="P10">
        <f t="shared" si="3"/>
        <v>0.90212167052085646</v>
      </c>
      <c r="Q10">
        <f t="shared" si="4"/>
        <v>0.91568952382816515</v>
      </c>
      <c r="R10">
        <f t="shared" si="5"/>
        <v>0.94672269858017932</v>
      </c>
      <c r="S10">
        <f t="shared" si="6"/>
        <v>0.98907048789026231</v>
      </c>
    </row>
    <row r="11" spans="1:19" x14ac:dyDescent="0.2">
      <c r="A11" s="1">
        <v>10</v>
      </c>
      <c r="B11">
        <v>-0.480137922329959</v>
      </c>
      <c r="C11">
        <v>3.0773531199262698</v>
      </c>
      <c r="D11">
        <v>-1.79714590678111</v>
      </c>
      <c r="E11">
        <v>4.0517428921213501</v>
      </c>
      <c r="F11">
        <v>15.1955240617116</v>
      </c>
      <c r="G11">
        <v>35.734637636355302</v>
      </c>
      <c r="H11">
        <v>48.692551568929197</v>
      </c>
      <c r="I11">
        <v>52.572741961373097</v>
      </c>
      <c r="L11" s="1">
        <v>10</v>
      </c>
      <c r="M11">
        <f t="shared" si="0"/>
        <v>0.35574910422562289</v>
      </c>
      <c r="N11">
        <f t="shared" si="1"/>
        <v>-6.585039922255756E-2</v>
      </c>
      <c r="O11">
        <f t="shared" si="2"/>
        <v>0.15106269381504364</v>
      </c>
      <c r="P11">
        <f t="shared" si="3"/>
        <v>0.391891549601039</v>
      </c>
      <c r="Q11">
        <f t="shared" si="4"/>
        <v>0.72429551117370528</v>
      </c>
      <c r="R11">
        <f t="shared" si="5"/>
        <v>0.81954482485431923</v>
      </c>
      <c r="S11">
        <f t="shared" si="6"/>
        <v>0.75789828405290083</v>
      </c>
    </row>
    <row r="12" spans="1:19" x14ac:dyDescent="0.2">
      <c r="A12" s="1">
        <v>11</v>
      </c>
      <c r="B12">
        <v>14.699645090447399</v>
      </c>
      <c r="C12">
        <v>27.577969001751001</v>
      </c>
      <c r="D12">
        <v>37.503984774908702</v>
      </c>
      <c r="E12">
        <v>41.412924791466502</v>
      </c>
      <c r="F12">
        <v>48.863555964354397</v>
      </c>
      <c r="G12">
        <v>61.744736906628603</v>
      </c>
      <c r="H12">
        <v>75.120689804976706</v>
      </c>
      <c r="I12">
        <v>86.383771996224894</v>
      </c>
      <c r="L12" s="1">
        <v>11</v>
      </c>
      <c r="M12">
        <f t="shared" si="0"/>
        <v>1.2878323911303602</v>
      </c>
      <c r="N12">
        <f t="shared" si="1"/>
        <v>1.1402169842230652</v>
      </c>
      <c r="O12">
        <f t="shared" si="2"/>
        <v>0.89044265670063683</v>
      </c>
      <c r="P12">
        <f t="shared" si="3"/>
        <v>0.85409777184767499</v>
      </c>
      <c r="Q12">
        <f t="shared" si="4"/>
        <v>0.94090183632362412</v>
      </c>
      <c r="R12">
        <f t="shared" si="5"/>
        <v>1.0070174119088218</v>
      </c>
      <c r="S12">
        <f t="shared" si="6"/>
        <v>1.0240589557968214</v>
      </c>
    </row>
    <row r="13" spans="1:19" x14ac:dyDescent="0.2">
      <c r="A13" s="1">
        <v>12</v>
      </c>
      <c r="B13">
        <v>-24.343125077256801</v>
      </c>
      <c r="C13">
        <v>-27.629133257580499</v>
      </c>
      <c r="D13">
        <v>-27.350042411829801</v>
      </c>
      <c r="E13">
        <v>-22.791322364387099</v>
      </c>
      <c r="F13">
        <v>-15.326884371612699</v>
      </c>
      <c r="G13">
        <v>10.6515627588629</v>
      </c>
      <c r="H13">
        <v>54.164663461745199</v>
      </c>
      <c r="I13">
        <v>63.609005017449</v>
      </c>
      <c r="L13" s="1">
        <v>12</v>
      </c>
      <c r="M13">
        <f t="shared" si="0"/>
        <v>-0.32860081803236979</v>
      </c>
      <c r="N13">
        <f t="shared" si="1"/>
        <v>-0.15034586672865</v>
      </c>
      <c r="O13">
        <f t="shared" si="2"/>
        <v>5.172675709565671E-2</v>
      </c>
      <c r="P13">
        <f t="shared" si="3"/>
        <v>0.22540601764110252</v>
      </c>
      <c r="Q13">
        <f t="shared" si="4"/>
        <v>0.69989375672239407</v>
      </c>
      <c r="R13">
        <f t="shared" si="5"/>
        <v>1.3084631423167001</v>
      </c>
      <c r="S13">
        <f t="shared" si="6"/>
        <v>1.2564590013529402</v>
      </c>
    </row>
    <row r="14" spans="1:19" x14ac:dyDescent="0.2">
      <c r="A14" s="1">
        <v>13</v>
      </c>
      <c r="B14">
        <v>12.8102566335613</v>
      </c>
      <c r="C14">
        <v>21.834566293205398</v>
      </c>
      <c r="D14">
        <v>27.5306280082001</v>
      </c>
      <c r="E14">
        <v>30.952713604037601</v>
      </c>
      <c r="F14">
        <v>39.043690831085499</v>
      </c>
      <c r="G14">
        <v>40.943434783041198</v>
      </c>
      <c r="H14">
        <v>47.556970819400298</v>
      </c>
      <c r="I14">
        <v>57.034492113813997</v>
      </c>
      <c r="L14" s="1">
        <v>13</v>
      </c>
      <c r="M14">
        <f t="shared" si="0"/>
        <v>0.90243096596440986</v>
      </c>
      <c r="N14">
        <f t="shared" si="1"/>
        <v>0.73601856873194005</v>
      </c>
      <c r="O14">
        <f t="shared" si="2"/>
        <v>0.60474856568254343</v>
      </c>
      <c r="P14">
        <f t="shared" si="3"/>
        <v>0.65583585493810492</v>
      </c>
      <c r="Q14">
        <f t="shared" si="4"/>
        <v>0.56266356298959797</v>
      </c>
      <c r="R14">
        <f t="shared" si="5"/>
        <v>0.57911190309731664</v>
      </c>
      <c r="S14">
        <f t="shared" si="6"/>
        <v>0.63177479257503855</v>
      </c>
    </row>
    <row r="15" spans="1:19" x14ac:dyDescent="0.2">
      <c r="A15" s="1">
        <v>14</v>
      </c>
      <c r="B15">
        <v>-17.284491242992502</v>
      </c>
      <c r="C15">
        <v>-10.123790297357001</v>
      </c>
      <c r="D15">
        <v>-1.6578929038836201</v>
      </c>
      <c r="E15">
        <v>12.669588189881701</v>
      </c>
      <c r="F15">
        <v>30.169580218173301</v>
      </c>
      <c r="G15">
        <v>33.30215162508</v>
      </c>
      <c r="H15">
        <v>49.341011497719201</v>
      </c>
      <c r="I15">
        <v>69.289864516507507</v>
      </c>
      <c r="L15" s="1">
        <v>14</v>
      </c>
      <c r="M15">
        <f t="shared" si="0"/>
        <v>0.71607009456355009</v>
      </c>
      <c r="N15">
        <f t="shared" si="1"/>
        <v>0.78132991695544407</v>
      </c>
      <c r="O15">
        <f t="shared" si="2"/>
        <v>0.99846931442914011</v>
      </c>
      <c r="P15">
        <f t="shared" si="3"/>
        <v>1.1863517865291451</v>
      </c>
      <c r="Q15">
        <f t="shared" si="4"/>
        <v>1.0117328573614501</v>
      </c>
      <c r="R15">
        <f t="shared" si="5"/>
        <v>1.1104250456785285</v>
      </c>
      <c r="S15">
        <f t="shared" si="6"/>
        <v>1.2367765108500002</v>
      </c>
    </row>
    <row r="16" spans="1:19" x14ac:dyDescent="0.2">
      <c r="A16" s="1">
        <v>15</v>
      </c>
      <c r="B16">
        <v>-11.4280611553593</v>
      </c>
      <c r="C16">
        <v>-10.983598649046799</v>
      </c>
      <c r="D16">
        <v>-6.8726844499738604</v>
      </c>
      <c r="E16">
        <v>12.8374931314438</v>
      </c>
      <c r="F16">
        <v>36.995726432781296</v>
      </c>
      <c r="G16">
        <v>50.368928663456401</v>
      </c>
      <c r="H16">
        <v>76.3737171679374</v>
      </c>
      <c r="I16">
        <v>106.752024097895</v>
      </c>
      <c r="L16" s="1">
        <v>15</v>
      </c>
      <c r="M16">
        <f t="shared" si="0"/>
        <v>4.4446250631250094E-2</v>
      </c>
      <c r="N16">
        <f t="shared" si="1"/>
        <v>0.227768835269272</v>
      </c>
      <c r="O16">
        <f t="shared" si="2"/>
        <v>0.80885180956010339</v>
      </c>
      <c r="P16">
        <f t="shared" si="3"/>
        <v>1.2105946897035149</v>
      </c>
      <c r="Q16">
        <f t="shared" si="4"/>
        <v>1.2359397963763141</v>
      </c>
      <c r="R16">
        <f t="shared" si="5"/>
        <v>1.463362972054945</v>
      </c>
      <c r="S16">
        <f t="shared" si="6"/>
        <v>1.6882869321893472</v>
      </c>
    </row>
    <row r="17" spans="1:19" x14ac:dyDescent="0.2">
      <c r="A17" s="1">
        <v>16</v>
      </c>
      <c r="B17">
        <v>11.303152939412801</v>
      </c>
      <c r="C17">
        <v>6.3257248826787196</v>
      </c>
      <c r="D17">
        <v>22.7255334417668</v>
      </c>
      <c r="E17">
        <v>42.5084373559922</v>
      </c>
      <c r="F17">
        <v>57.679996048961598</v>
      </c>
      <c r="G17">
        <v>67.041566295658001</v>
      </c>
      <c r="H17">
        <v>82.391740488478703</v>
      </c>
      <c r="I17">
        <v>88.435637364689001</v>
      </c>
      <c r="L17" s="1">
        <v>16</v>
      </c>
      <c r="M17">
        <f t="shared" si="0"/>
        <v>-0.49774280567340812</v>
      </c>
      <c r="N17">
        <f t="shared" si="1"/>
        <v>0.57111902511769996</v>
      </c>
      <c r="O17">
        <f t="shared" si="2"/>
        <v>1.0401761472193134</v>
      </c>
      <c r="P17">
        <f t="shared" si="3"/>
        <v>1.1594210777387199</v>
      </c>
      <c r="Q17">
        <f t="shared" si="4"/>
        <v>1.1147682671249042</v>
      </c>
      <c r="R17">
        <f t="shared" si="5"/>
        <v>1.1848097924844319</v>
      </c>
      <c r="S17">
        <f t="shared" si="6"/>
        <v>1.101892634646803</v>
      </c>
    </row>
    <row r="18" spans="1:19" x14ac:dyDescent="0.2">
      <c r="A18" s="1">
        <v>17</v>
      </c>
      <c r="B18">
        <v>-10.676185770494801</v>
      </c>
      <c r="C18">
        <v>-2.22551106148281</v>
      </c>
      <c r="D18">
        <v>7.5054806892386301</v>
      </c>
      <c r="E18">
        <v>11.207404850153999</v>
      </c>
      <c r="F18">
        <v>26.489689164027698</v>
      </c>
      <c r="G18">
        <v>35.595018520847603</v>
      </c>
      <c r="H18">
        <v>45.1899541922824</v>
      </c>
      <c r="I18">
        <v>65.405758688892703</v>
      </c>
      <c r="L18" s="1">
        <v>17</v>
      </c>
      <c r="M18">
        <f t="shared" si="0"/>
        <v>0.84506747090119916</v>
      </c>
      <c r="N18">
        <f t="shared" si="1"/>
        <v>0.9090833229866716</v>
      </c>
      <c r="O18">
        <f t="shared" si="2"/>
        <v>0.72945302068829332</v>
      </c>
      <c r="P18">
        <f t="shared" si="3"/>
        <v>0.92914687336306245</v>
      </c>
      <c r="Q18">
        <f t="shared" si="4"/>
        <v>0.92542408582684799</v>
      </c>
      <c r="R18">
        <f t="shared" si="5"/>
        <v>0.93110233271295328</v>
      </c>
      <c r="S18">
        <f t="shared" si="6"/>
        <v>1.0868849208483928</v>
      </c>
    </row>
    <row r="19" spans="1:19" x14ac:dyDescent="0.2">
      <c r="A19" s="1">
        <v>18</v>
      </c>
      <c r="B19">
        <v>1.5747012763510899</v>
      </c>
      <c r="C19">
        <v>0.98340431013859297</v>
      </c>
      <c r="D19">
        <v>15.6911798709212</v>
      </c>
      <c r="E19">
        <v>22.222768231432401</v>
      </c>
      <c r="F19">
        <v>36.6079394070346</v>
      </c>
      <c r="G19">
        <v>51.804868319384397</v>
      </c>
      <c r="H19">
        <v>68.306174078887096</v>
      </c>
      <c r="I19">
        <v>81.196640484477101</v>
      </c>
      <c r="L19" s="1">
        <v>18</v>
      </c>
      <c r="M19">
        <f t="shared" si="0"/>
        <v>-5.9129696621249693E-2</v>
      </c>
      <c r="N19">
        <f t="shared" si="1"/>
        <v>0.70582392972850549</v>
      </c>
      <c r="O19">
        <f t="shared" si="2"/>
        <v>0.68826889850271045</v>
      </c>
      <c r="P19">
        <f t="shared" si="3"/>
        <v>0.87583095326708771</v>
      </c>
      <c r="Q19">
        <f t="shared" si="4"/>
        <v>1.004603340860666</v>
      </c>
      <c r="R19">
        <f t="shared" si="5"/>
        <v>1.1121912133756</v>
      </c>
      <c r="S19">
        <f t="shared" si="6"/>
        <v>1.1374562744018002</v>
      </c>
    </row>
    <row r="20" spans="1:19" x14ac:dyDescent="0.2">
      <c r="A20" s="1">
        <v>19</v>
      </c>
      <c r="B20">
        <v>-4.6852155096396997</v>
      </c>
      <c r="C20">
        <v>3.2907104912394201</v>
      </c>
      <c r="D20">
        <v>27.505333221980798</v>
      </c>
      <c r="E20">
        <v>39.935897839663198</v>
      </c>
      <c r="F20">
        <v>44.539928952355403</v>
      </c>
      <c r="G20">
        <v>50.417090679277898</v>
      </c>
      <c r="H20">
        <v>64.721905493856696</v>
      </c>
      <c r="I20">
        <v>86.159620387280995</v>
      </c>
      <c r="L20" s="1">
        <v>19</v>
      </c>
      <c r="M20">
        <f t="shared" si="0"/>
        <v>0.797592600087912</v>
      </c>
      <c r="N20">
        <f t="shared" si="1"/>
        <v>1.6095274365810248</v>
      </c>
      <c r="O20">
        <f t="shared" si="2"/>
        <v>1.4873704449767631</v>
      </c>
      <c r="P20">
        <f t="shared" si="3"/>
        <v>1.2306286115498775</v>
      </c>
      <c r="Q20">
        <f t="shared" si="4"/>
        <v>1.1020461237783519</v>
      </c>
      <c r="R20">
        <f t="shared" si="5"/>
        <v>1.1567853500582734</v>
      </c>
      <c r="S20">
        <f t="shared" si="6"/>
        <v>1.29778336995601</v>
      </c>
    </row>
    <row r="21" spans="1:19" x14ac:dyDescent="0.2">
      <c r="A21" s="1">
        <v>20</v>
      </c>
      <c r="B21">
        <v>-16.933066122493599</v>
      </c>
      <c r="C21">
        <v>-11.5689326288571</v>
      </c>
      <c r="D21">
        <v>-2.83942924546951</v>
      </c>
      <c r="E21">
        <v>0.37545823030272701</v>
      </c>
      <c r="F21">
        <v>18.237728527513301</v>
      </c>
      <c r="G21">
        <v>26.5397989455541</v>
      </c>
      <c r="H21">
        <v>43.166882055276503</v>
      </c>
      <c r="I21">
        <v>65.022250495441796</v>
      </c>
      <c r="L21" s="1">
        <v>20</v>
      </c>
      <c r="M21">
        <f t="shared" si="0"/>
        <v>0.53641334936364993</v>
      </c>
      <c r="N21">
        <f t="shared" si="1"/>
        <v>0.70468184385120447</v>
      </c>
      <c r="O21">
        <f t="shared" si="2"/>
        <v>0.5769508117598775</v>
      </c>
      <c r="P21">
        <f t="shared" si="3"/>
        <v>0.87926986625017245</v>
      </c>
      <c r="Q21">
        <f t="shared" si="4"/>
        <v>0.86945730136095389</v>
      </c>
      <c r="R21">
        <f t="shared" si="5"/>
        <v>1.0016658029628351</v>
      </c>
      <c r="S21">
        <f t="shared" si="6"/>
        <v>1.1707902373990771</v>
      </c>
    </row>
    <row r="22" spans="1:19" x14ac:dyDescent="0.2">
      <c r="A22" s="1">
        <v>21</v>
      </c>
      <c r="B22">
        <v>20.418893666689399</v>
      </c>
      <c r="C22">
        <v>29.802953766739499</v>
      </c>
      <c r="D22">
        <v>33.842117625505999</v>
      </c>
      <c r="E22">
        <v>38.467549999229803</v>
      </c>
      <c r="F22">
        <v>42.859434184990498</v>
      </c>
      <c r="G22">
        <v>53.760896628243202</v>
      </c>
      <c r="H22">
        <v>60.901626495835103</v>
      </c>
      <c r="I22">
        <v>74.176580776867993</v>
      </c>
      <c r="L22" s="1">
        <v>21</v>
      </c>
      <c r="M22">
        <f t="shared" si="0"/>
        <v>0.93840601000501001</v>
      </c>
      <c r="N22">
        <f t="shared" si="1"/>
        <v>0.67116119794082996</v>
      </c>
      <c r="O22">
        <f t="shared" si="2"/>
        <v>0.60162187775134679</v>
      </c>
      <c r="P22">
        <f t="shared" si="3"/>
        <v>0.56101351295752744</v>
      </c>
      <c r="Q22">
        <f t="shared" si="4"/>
        <v>0.66684005923107603</v>
      </c>
      <c r="R22">
        <f t="shared" si="5"/>
        <v>0.67471221381909507</v>
      </c>
      <c r="S22">
        <f t="shared" si="6"/>
        <v>0.76796695871683707</v>
      </c>
    </row>
    <row r="23" spans="1:19" x14ac:dyDescent="0.2">
      <c r="A23" s="1">
        <v>22</v>
      </c>
      <c r="B23">
        <v>-24.106419206286901</v>
      </c>
      <c r="C23">
        <v>1.53146187289221</v>
      </c>
      <c r="D23">
        <v>12.852163959999601</v>
      </c>
      <c r="E23">
        <v>21.101374935425699</v>
      </c>
      <c r="F23">
        <v>24.822837966222799</v>
      </c>
      <c r="G23">
        <v>36.756148000756603</v>
      </c>
      <c r="H23">
        <v>45.255940690136399</v>
      </c>
      <c r="I23">
        <v>62.666424060246896</v>
      </c>
      <c r="L23" s="1">
        <v>22</v>
      </c>
      <c r="M23">
        <f t="shared" si="0"/>
        <v>2.5637881079179108</v>
      </c>
      <c r="N23">
        <f t="shared" si="1"/>
        <v>1.8479291583143251</v>
      </c>
      <c r="O23">
        <f t="shared" si="2"/>
        <v>1.5069264713904198</v>
      </c>
      <c r="P23">
        <f t="shared" si="3"/>
        <v>1.2232314293127424</v>
      </c>
      <c r="Q23">
        <f t="shared" si="4"/>
        <v>1.2172513441408701</v>
      </c>
      <c r="R23">
        <f t="shared" si="5"/>
        <v>1.156039331607055</v>
      </c>
      <c r="S23">
        <f t="shared" si="6"/>
        <v>1.2396120466647684</v>
      </c>
    </row>
    <row r="24" spans="1:19" x14ac:dyDescent="0.2">
      <c r="A24" s="1">
        <v>23</v>
      </c>
      <c r="B24">
        <v>2.2907243339392598</v>
      </c>
      <c r="C24">
        <v>7.1734964108551003</v>
      </c>
      <c r="D24">
        <v>13.3684031836529</v>
      </c>
      <c r="E24">
        <v>21.9477602942079</v>
      </c>
      <c r="F24">
        <v>31.415566449497302</v>
      </c>
      <c r="G24">
        <v>49.4267278641533</v>
      </c>
      <c r="H24">
        <v>62.361098822251101</v>
      </c>
      <c r="I24">
        <v>77.571149819335901</v>
      </c>
      <c r="L24" s="1">
        <v>23</v>
      </c>
      <c r="M24">
        <f t="shared" si="0"/>
        <v>0.488277207691584</v>
      </c>
      <c r="N24">
        <f t="shared" si="1"/>
        <v>0.55388394248568207</v>
      </c>
      <c r="O24">
        <f t="shared" si="2"/>
        <v>0.65523453200895465</v>
      </c>
      <c r="P24">
        <f t="shared" si="3"/>
        <v>0.72812105288895101</v>
      </c>
      <c r="Q24">
        <f t="shared" si="4"/>
        <v>0.94272007060428076</v>
      </c>
      <c r="R24">
        <f t="shared" si="5"/>
        <v>1.0011729081385308</v>
      </c>
      <c r="S24">
        <f t="shared" si="6"/>
        <v>1.0754346497913805</v>
      </c>
    </row>
    <row r="25" spans="1:19" x14ac:dyDescent="0.2">
      <c r="A25" s="1">
        <v>24</v>
      </c>
      <c r="B25">
        <v>-8.7259103940590492</v>
      </c>
      <c r="C25">
        <v>9.7224645852367093</v>
      </c>
      <c r="D25">
        <v>19.695312038685099</v>
      </c>
      <c r="E25">
        <v>32.586839945807199</v>
      </c>
      <c r="F25">
        <v>38.449426917468799</v>
      </c>
      <c r="G25">
        <v>49.791859433840102</v>
      </c>
      <c r="H25">
        <v>59.198071586906501</v>
      </c>
      <c r="I25">
        <v>74.581537647913905</v>
      </c>
      <c r="L25" s="1">
        <v>24</v>
      </c>
      <c r="M25">
        <f t="shared" si="0"/>
        <v>1.8448374979295756</v>
      </c>
      <c r="N25">
        <f t="shared" si="1"/>
        <v>1.4210611216372073</v>
      </c>
      <c r="O25">
        <f t="shared" si="2"/>
        <v>1.3770916779955416</v>
      </c>
      <c r="P25">
        <f t="shared" si="3"/>
        <v>1.1793834327881962</v>
      </c>
      <c r="Q25">
        <f t="shared" si="4"/>
        <v>1.1703553965579829</v>
      </c>
      <c r="R25">
        <f t="shared" si="5"/>
        <v>1.1320663663494259</v>
      </c>
      <c r="S25">
        <f t="shared" si="6"/>
        <v>1.1901064005996136</v>
      </c>
    </row>
    <row r="26" spans="1:19" x14ac:dyDescent="0.2">
      <c r="A26" s="1">
        <v>25</v>
      </c>
      <c r="B26">
        <v>-30.634402225257201</v>
      </c>
      <c r="C26">
        <v>-16.555067692031798</v>
      </c>
      <c r="D26">
        <v>13.9062881641226</v>
      </c>
      <c r="E26">
        <v>24.7184044466761</v>
      </c>
      <c r="F26">
        <v>38.8760392260412</v>
      </c>
      <c r="G26">
        <v>47.368068664193402</v>
      </c>
      <c r="H26">
        <v>64.831247375805802</v>
      </c>
      <c r="I26">
        <v>89.718803790315107</v>
      </c>
      <c r="L26" s="1">
        <v>25</v>
      </c>
      <c r="M26">
        <f t="shared" si="0"/>
        <v>1.4079334533225403</v>
      </c>
      <c r="N26">
        <f t="shared" si="1"/>
        <v>2.2270345194689902</v>
      </c>
      <c r="O26">
        <f t="shared" si="2"/>
        <v>1.8450935557311101</v>
      </c>
      <c r="P26">
        <f t="shared" si="3"/>
        <v>1.73776103628246</v>
      </c>
      <c r="Q26">
        <f t="shared" si="4"/>
        <v>1.5600494177890121</v>
      </c>
      <c r="R26">
        <f t="shared" si="5"/>
        <v>1.5910941600177169</v>
      </c>
      <c r="S26">
        <f t="shared" si="6"/>
        <v>1.7193315145081758</v>
      </c>
    </row>
    <row r="27" spans="1:19" x14ac:dyDescent="0.2">
      <c r="A27" s="1">
        <v>26</v>
      </c>
      <c r="B27">
        <v>-24.473553942920098</v>
      </c>
      <c r="C27">
        <v>-22.234747904779901</v>
      </c>
      <c r="D27">
        <v>-25.844736023136399</v>
      </c>
      <c r="E27">
        <v>-20.8697335757135</v>
      </c>
      <c r="F27">
        <v>-8.4766318950790094</v>
      </c>
      <c r="G27">
        <v>24.700476721742799</v>
      </c>
      <c r="H27">
        <v>49.2780280949329</v>
      </c>
      <c r="I27">
        <v>62.2652089144621</v>
      </c>
      <c r="L27" s="1">
        <v>26</v>
      </c>
      <c r="M27">
        <f t="shared" si="0"/>
        <v>0.2238806038140197</v>
      </c>
      <c r="N27">
        <f t="shared" si="1"/>
        <v>-6.8559104010815025E-2</v>
      </c>
      <c r="O27">
        <f t="shared" si="2"/>
        <v>0.12012734557355327</v>
      </c>
      <c r="P27">
        <f t="shared" si="3"/>
        <v>0.39992305119602722</v>
      </c>
      <c r="Q27">
        <f t="shared" si="4"/>
        <v>0.98348061329325787</v>
      </c>
      <c r="R27">
        <f t="shared" si="5"/>
        <v>1.2291930339642165</v>
      </c>
      <c r="S27">
        <f t="shared" si="6"/>
        <v>1.2391251836768886</v>
      </c>
    </row>
    <row r="28" spans="1:19" x14ac:dyDescent="0.2">
      <c r="A28" s="1">
        <v>27</v>
      </c>
      <c r="B28">
        <v>-20.799688189645199</v>
      </c>
      <c r="C28">
        <v>-19.012379050914799</v>
      </c>
      <c r="D28">
        <v>-27.526601101131501</v>
      </c>
      <c r="E28">
        <v>-18.387178989637601</v>
      </c>
      <c r="F28">
        <v>5.4409745271019796</v>
      </c>
      <c r="G28">
        <v>36.100865695508197</v>
      </c>
      <c r="H28">
        <v>59.990273676283003</v>
      </c>
      <c r="I28">
        <v>72.798227680045997</v>
      </c>
      <c r="L28" s="1">
        <v>27</v>
      </c>
      <c r="M28">
        <f t="shared" si="0"/>
        <v>0.17873091387304002</v>
      </c>
      <c r="N28">
        <f t="shared" si="1"/>
        <v>-0.33634564557431512</v>
      </c>
      <c r="O28">
        <f t="shared" si="2"/>
        <v>8.0416973333586605E-2</v>
      </c>
      <c r="P28">
        <f t="shared" si="3"/>
        <v>0.65601656791867946</v>
      </c>
      <c r="Q28">
        <f t="shared" si="4"/>
        <v>1.1380110777030681</v>
      </c>
      <c r="R28">
        <f t="shared" si="5"/>
        <v>1.3464993644321368</v>
      </c>
      <c r="S28">
        <f t="shared" si="6"/>
        <v>1.3371130838527314</v>
      </c>
    </row>
    <row r="29" spans="1:19" x14ac:dyDescent="0.2">
      <c r="A29" s="1">
        <v>28</v>
      </c>
      <c r="B29">
        <v>-12.184205520790901</v>
      </c>
      <c r="C29">
        <v>-5.7128751246411102</v>
      </c>
      <c r="D29">
        <v>9.6797909643262106</v>
      </c>
      <c r="E29">
        <v>18.948664619924099</v>
      </c>
      <c r="F29">
        <v>29.1290635126404</v>
      </c>
      <c r="G29">
        <v>34.503898774130697</v>
      </c>
      <c r="H29">
        <v>46.849017503965797</v>
      </c>
      <c r="I29">
        <v>66.402433720313795</v>
      </c>
      <c r="L29" s="1">
        <v>28</v>
      </c>
      <c r="M29">
        <f t="shared" si="0"/>
        <v>0.64713303961497903</v>
      </c>
      <c r="N29">
        <f t="shared" si="1"/>
        <v>1.0931998242558556</v>
      </c>
      <c r="O29">
        <f t="shared" si="2"/>
        <v>1.0377623380238332</v>
      </c>
      <c r="P29">
        <f t="shared" si="3"/>
        <v>1.0328317258357824</v>
      </c>
      <c r="Q29">
        <f t="shared" si="4"/>
        <v>0.93376208589843201</v>
      </c>
      <c r="R29">
        <f t="shared" si="5"/>
        <v>0.9838870504126116</v>
      </c>
      <c r="S29">
        <f t="shared" si="6"/>
        <v>1.1226662748729241</v>
      </c>
    </row>
    <row r="30" spans="1:19" x14ac:dyDescent="0.2">
      <c r="A30" s="1">
        <v>29</v>
      </c>
      <c r="B30">
        <v>10.7511581559768</v>
      </c>
      <c r="C30">
        <v>14.0085757384327</v>
      </c>
      <c r="D30">
        <v>22.373932545943099</v>
      </c>
      <c r="E30">
        <v>37.530373423841702</v>
      </c>
      <c r="F30">
        <v>46.524786823624297</v>
      </c>
      <c r="G30">
        <v>52.700320648777499</v>
      </c>
      <c r="H30">
        <v>68.887654758080402</v>
      </c>
      <c r="I30">
        <v>75.853606476989697</v>
      </c>
      <c r="L30" s="1">
        <v>29</v>
      </c>
      <c r="M30">
        <f t="shared" si="0"/>
        <v>0.32574175824559004</v>
      </c>
      <c r="N30">
        <f t="shared" si="1"/>
        <v>0.58113871949831497</v>
      </c>
      <c r="O30">
        <f t="shared" si="2"/>
        <v>0.89264050892883007</v>
      </c>
      <c r="P30">
        <f t="shared" si="3"/>
        <v>0.89434071669118753</v>
      </c>
      <c r="Q30">
        <f t="shared" si="4"/>
        <v>0.83898324985601391</v>
      </c>
      <c r="R30">
        <f t="shared" si="5"/>
        <v>0.96894161003506007</v>
      </c>
      <c r="S30">
        <f t="shared" si="6"/>
        <v>0.93003497601447005</v>
      </c>
    </row>
    <row r="31" spans="1:19" x14ac:dyDescent="0.2">
      <c r="A31" s="1">
        <v>30</v>
      </c>
      <c r="B31">
        <v>4.19369695822766</v>
      </c>
      <c r="C31">
        <v>2.21542213256126</v>
      </c>
      <c r="D31">
        <v>12.3600454063164</v>
      </c>
      <c r="E31">
        <v>18.512112667395101</v>
      </c>
      <c r="F31">
        <v>29.192961046617601</v>
      </c>
      <c r="G31">
        <v>38.082218995994197</v>
      </c>
      <c r="H31">
        <v>56.560469138205399</v>
      </c>
      <c r="I31">
        <v>65.523402957544903</v>
      </c>
      <c r="L31" s="1">
        <v>30</v>
      </c>
      <c r="M31">
        <f t="shared" si="0"/>
        <v>-0.19782748256664001</v>
      </c>
      <c r="N31">
        <f t="shared" si="1"/>
        <v>0.40831742240443702</v>
      </c>
      <c r="O31">
        <f t="shared" si="2"/>
        <v>0.47728052363891471</v>
      </c>
      <c r="P31">
        <f t="shared" si="3"/>
        <v>0.62498160220974852</v>
      </c>
      <c r="Q31">
        <f t="shared" si="4"/>
        <v>0.67777044075533066</v>
      </c>
      <c r="R31">
        <f t="shared" si="5"/>
        <v>0.87277953633296224</v>
      </c>
      <c r="S31">
        <f t="shared" si="6"/>
        <v>0.87613865713310346</v>
      </c>
    </row>
    <row r="32" spans="1:19" x14ac:dyDescent="0.2">
      <c r="A32" s="1">
        <v>31</v>
      </c>
      <c r="B32">
        <v>9.3314986739750498</v>
      </c>
      <c r="C32">
        <v>31.1228834966563</v>
      </c>
      <c r="D32">
        <v>42.7532347326365</v>
      </c>
      <c r="E32">
        <v>46.976280370263098</v>
      </c>
      <c r="F32">
        <v>55.115794808576297</v>
      </c>
      <c r="G32">
        <v>72.826334861624204</v>
      </c>
      <c r="H32">
        <v>99.1940953808964</v>
      </c>
      <c r="I32">
        <v>115.287809921103</v>
      </c>
      <c r="L32" s="1">
        <v>31</v>
      </c>
      <c r="M32">
        <f t="shared" si="0"/>
        <v>2.179138482268125</v>
      </c>
      <c r="N32">
        <f t="shared" si="1"/>
        <v>1.6710868029330725</v>
      </c>
      <c r="O32">
        <f t="shared" si="2"/>
        <v>1.254826056542935</v>
      </c>
      <c r="P32">
        <f t="shared" si="3"/>
        <v>1.1446074033650313</v>
      </c>
      <c r="Q32">
        <f t="shared" si="4"/>
        <v>1.269896723752983</v>
      </c>
      <c r="R32">
        <f t="shared" si="5"/>
        <v>1.4977099451153559</v>
      </c>
      <c r="S32">
        <f t="shared" si="6"/>
        <v>1.5136615892446852</v>
      </c>
    </row>
    <row r="33" spans="1:19" x14ac:dyDescent="0.2">
      <c r="A33" s="1">
        <v>32</v>
      </c>
      <c r="B33">
        <v>-11.492672050109199</v>
      </c>
      <c r="C33">
        <v>9.6195517871463103</v>
      </c>
      <c r="D33">
        <v>28.806626767397301</v>
      </c>
      <c r="E33">
        <v>33.7356174004331</v>
      </c>
      <c r="F33">
        <v>28.9593600215481</v>
      </c>
      <c r="G33">
        <v>44.3949902800194</v>
      </c>
      <c r="H33">
        <v>58.167625603546902</v>
      </c>
      <c r="I33">
        <v>84.968911273992305</v>
      </c>
      <c r="L33" s="1">
        <v>32</v>
      </c>
      <c r="M33">
        <f t="shared" si="0"/>
        <v>2.111222383725551</v>
      </c>
      <c r="N33">
        <f>(D33-B33)/20</f>
        <v>2.0149649408753247</v>
      </c>
      <c r="O33">
        <f t="shared" si="2"/>
        <v>1.5076096483514099</v>
      </c>
      <c r="P33">
        <f t="shared" si="3"/>
        <v>1.0113008017914324</v>
      </c>
      <c r="Q33">
        <f t="shared" si="4"/>
        <v>1.1177532466025719</v>
      </c>
      <c r="R33">
        <f t="shared" si="5"/>
        <v>1.1610049608942683</v>
      </c>
      <c r="S33">
        <f t="shared" si="6"/>
        <v>1.3780226189157356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texture 180</vt:lpstr>
      <vt:lpstr>texture 90</vt:lpstr>
      <vt:lpstr>stereo 180</vt:lpstr>
      <vt:lpstr>stereo 90</vt:lpstr>
      <vt:lpstr>combined 180</vt:lpstr>
      <vt:lpstr>combined 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Pin</dc:creator>
  <cp:lastModifiedBy>Yang, Pin</cp:lastModifiedBy>
  <dcterms:created xsi:type="dcterms:W3CDTF">2024-11-17T18:32:49Z</dcterms:created>
  <dcterms:modified xsi:type="dcterms:W3CDTF">2026-10-17T13:07:14Z</dcterms:modified>
</cp:coreProperties>
</file>